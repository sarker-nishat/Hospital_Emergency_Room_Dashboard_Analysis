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DELL\Desktop\Excel Projects\"/>
    </mc:Choice>
  </mc:AlternateContent>
  <xr:revisionPtr revIDLastSave="0" documentId="13_ncr:1_{4FCD5E31-FC22-4B15-9FBE-38CE5A14B87D}" xr6:coauthVersionLast="47" xr6:coauthVersionMax="47" xr10:uidLastSave="{00000000-0000-0000-0000-000000000000}"/>
  <bookViews>
    <workbookView xWindow="28680" yWindow="-120" windowWidth="29040" windowHeight="15720" xr2:uid="{DF65088F-65C9-4338-BA88-AE8E94E77927}"/>
  </bookViews>
  <sheets>
    <sheet name="Pivot Report" sheetId="1" r:id="rId1"/>
    <sheet name="Main_DashBoard" sheetId="6" r:id="rId2"/>
    <sheet name="Daily ER No of Patient" sheetId="3" r:id="rId3"/>
    <sheet name="Average Wait Time" sheetId="4" r:id="rId4"/>
    <sheet name="Patient_Satisfaction" sheetId="5" r:id="rId5"/>
  </sheets>
  <definedNames>
    <definedName name="Slicer_Date__Month">#N/A</definedName>
    <definedName name="Slicer_Date__Year">#N/A</definedName>
  </definedNames>
  <calcPr calcId="191029"/>
  <pivotCaches>
    <pivotCache cacheId="988" r:id="rId6"/>
    <pivotCache cacheId="991" r:id="rId7"/>
    <pivotCache cacheId="994" r:id="rId8"/>
    <pivotCache cacheId="997" r:id="rId9"/>
    <pivotCache cacheId="1000" r:id="rId10"/>
    <pivotCache cacheId="1003" r:id="rId11"/>
    <pivotCache cacheId="1006" r:id="rId12"/>
    <pivotCache cacheId="1009" r:id="rId13"/>
    <pivotCache cacheId="1012" r:id="rId14"/>
    <pivotCache cacheId="1015" r:id="rId15"/>
    <pivotCache cacheId="1018" r:id="rId16"/>
    <pivotCache cacheId="1021"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f097ddb-2e51-4a19-9f82-004bac9c2708" name="Hospital Emergency Room Data" connection="Query - Hospital Emergency Room Data"/>
          <x15:modelTable id="Calendar_Table_37b0fbeb-c3bc-4fa8-91c8-f53c14692c2c"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3" i="1" l="1"/>
  <c r="C43" i="1"/>
  <c r="B44" i="1"/>
  <c r="C44" i="1"/>
  <c r="A43" i="1"/>
  <c r="A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00ACAD-1C3C-4208-93F3-B96472D6D9DA}" name="Query - Calendar_Table" description="Connection to the 'Calendar_Table' query in the workbook." type="100" refreshedVersion="7" minRefreshableVersion="5">
    <extLst>
      <ext xmlns:x15="http://schemas.microsoft.com/office/spreadsheetml/2010/11/main" uri="{DE250136-89BD-433C-8126-D09CA5730AF9}">
        <x15:connection id="bea83d34-2dbf-44a0-8f19-e378f2d78957"/>
      </ext>
    </extLst>
  </connection>
  <connection id="2" xr16:uid="{C7DC9FB2-1D87-479F-BF7D-58DFC84CF207}"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9ebaf83b-b0c0-4eaf-9569-78f0c840f74a"/>
      </ext>
    </extLst>
  </connection>
  <connection id="3" xr16:uid="{C3355D7C-93A2-4D5F-88A6-B33A801A8C52}"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<sst xmlns="http://schemas.openxmlformats.org/spreadsheetml/2006/main" count="152" uniqueCount="74">
  <si>
    <t>Distinct Count of Patient Id</t>
  </si>
  <si>
    <t>Average of Patient Waittime</t>
  </si>
  <si>
    <t>Average of Patient Satisfaction Score</t>
  </si>
  <si>
    <t>Grand Total</t>
  </si>
  <si>
    <t>Row Labels</t>
  </si>
  <si>
    <t>Midnight Blue</t>
  </si>
  <si>
    <t>#003d7a</t>
  </si>
  <si>
    <t>Admitted</t>
  </si>
  <si>
    <t>Not Admitted</t>
  </si>
  <si>
    <t>Count of Patient Admission Flag</t>
  </si>
  <si>
    <t>Count of Patient Admission Flag2</t>
  </si>
  <si>
    <t>Admission Status</t>
  </si>
  <si>
    <t>% Status</t>
  </si>
  <si>
    <t>No. of PatientPatient</t>
  </si>
  <si>
    <t>Count of Age Group</t>
  </si>
  <si>
    <t>0-09</t>
  </si>
  <si>
    <t>10-19</t>
  </si>
  <si>
    <t>20-29</t>
  </si>
  <si>
    <t>30-39</t>
  </si>
  <si>
    <t>40-49</t>
  </si>
  <si>
    <t>50-59</t>
  </si>
  <si>
    <t>60-69</t>
  </si>
  <si>
    <t>70-79</t>
  </si>
  <si>
    <t>Age group wise Analysis</t>
  </si>
  <si>
    <t>Count of Patient Id</t>
  </si>
  <si>
    <t>Ontime</t>
  </si>
  <si>
    <t>Delay</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</si>
  <si>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</si>
  <si>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</si>
  <si>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</si>
  <si>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</si>
  <si>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</si>
  <si>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</si>
  <si>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</si>
  <si>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</si>
  <si>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</si>
  <si>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</si>
  <si>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</si>
  <si>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</si>
  <si>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</si>
  <si>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</si>
  <si>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2024</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</si>
  <si>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</si>
  <si>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</si>
  <si>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</si>
  <si>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</si>
  <si>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</si>
  <si>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</si>
  <si>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</si>
  <si>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</si>
  <si>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</si>
  <si>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</si>
  <si>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</si>
  <si>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</si>
  <si>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</si>
  <si>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</si>
  <si>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</si>
  <si>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</si>
  <si>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</si>
  <si>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</si>
  <si>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</si>
  <si>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</si>
  <si>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</si>
  <si>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</si>
  <si>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</si>
  <si>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</si>
  <si>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</si>
  <si>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</si>
  <si>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</si>
  <si>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</si>
  <si>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</si>
  <si>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</si>
  <si>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Qtr3</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</si>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</sst>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sz val="11"/>
      <color theme="1"/>
      <name val="Arial"/>
      <family val="2"/>
    </font>
    <font>
      <sz val="8"/>
      <color theme="1"/>
      <name val="Segoe UI"/>
      <family val="2"/>
    </font>
    <font>
      <u/>
      <sz val="11"/>
      <color theme="10"/>
      <name val="Calibri"/>
      <family val="2"/>
      <scheme val="minor"/>
    </font>
    <font>
      <sz val="11"/>
      <color theme="1"/>
      <name val="Calibri"/>
      <family val="2"/>
      <scheme val="minor"/>
    </font>
    <font>
      <b/>
      <sz val="11"/>
      <color theme="1"/>
      <name val="Calibri"/>
      <family val="2"/>
      <scheme val="minor"/>
    </font>
    <font>
      <sz val="11"/>
      <color theme="0" tint="-4.9989318521683403E-2"/>
      <name val="Arial"/>
      <family val="2"/>
    </font>
    <font>
      <sz val="11"/>
      <color theme="3"/>
      <name val="Arial"/>
      <family val="2"/>
    </font>
  </fonts>
  <fills count="5">
    <fill>
      <patternFill patternType="none"/>
    </fill>
    <fill>
      <patternFill patternType="gray125"/>
    </fill>
    <fill>
      <patternFill patternType="solid">
        <fgColor rgb="FF003D7A"/>
        <bgColor indexed="64"/>
      </patternFill>
    </fill>
    <fill>
      <patternFill patternType="solid">
        <fgColor theme="4" tint="0.79998168889431442"/>
        <bgColor theme="4" tint="0.79998168889431442"/>
      </patternFill>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3">
    <xf numFmtId="0" fontId="0" fillId="0" borderId="0"/>
    <xf numFmtId="0" fontId="3" fillId="0" borderId="0" applyNumberFormat="0" applyFill="0" applyBorder="0" applyAlignment="0" applyProtection="0"/>
    <xf numFmtId="9" fontId="4" fillId="0" borderId="0" applyFont="0" applyFill="0" applyBorder="0" applyAlignment="0" applyProtection="0"/>
  </cellStyleXfs>
  <cellXfs count="19">
    <xf numFmtId="0" fontId="0" fillId="0" borderId="0" xfId="0"/>
    <xf numFmtId="0" fontId="0" fillId="0" borderId="0" xfId="0" applyNumberFormat="1"/>
    <xf numFmtId="0" fontId="0" fillId="0" borderId="0" xfId="0" pivotButton="1"/>
    <xf numFmtId="2" fontId="0" fillId="0" borderId="0" xfId="0" applyNumberFormat="1"/>
    <xf numFmtId="0" fontId="0" fillId="0" borderId="0" xfId="0" applyAlignment="1">
      <alignment horizontal="left"/>
    </xf>
    <xf numFmtId="0" fontId="1" fillId="2" borderId="0" xfId="0" applyFont="1" applyFill="1"/>
    <xf numFmtId="0" fontId="3" fillId="0" borderId="0" xfId="1"/>
    <xf numFmtId="0" fontId="2" fillId="0" borderId="0" xfId="0" applyFont="1" applyAlignment="1">
      <alignment horizontal="center" vertical="center"/>
    </xf>
    <xf numFmtId="0" fontId="5" fillId="3" borderId="1" xfId="0" applyFont="1" applyFill="1" applyBorder="1"/>
    <xf numFmtId="1" fontId="0" fillId="0" borderId="0" xfId="0" applyNumberFormat="1"/>
    <xf numFmtId="10" fontId="0" fillId="0" borderId="0" xfId="0" applyNumberFormat="1"/>
    <xf numFmtId="0" fontId="6" fillId="2" borderId="0" xfId="0" applyFont="1" applyFill="1" applyAlignment="1">
      <alignment horizontal="center" vertical="center"/>
    </xf>
    <xf numFmtId="0" fontId="6" fillId="2" borderId="0" xfId="0" applyFont="1" applyFill="1" applyAlignment="1">
      <alignment vertical="center"/>
    </xf>
    <xf numFmtId="0" fontId="7" fillId="4" borderId="0" xfId="0" applyFont="1" applyFill="1" applyAlignment="1">
      <alignment horizontal="center" vertical="center"/>
    </xf>
    <xf numFmtId="9" fontId="7" fillId="4" borderId="0" xfId="2" applyFont="1" applyFill="1" applyAlignment="1">
      <alignment horizontal="center" vertical="center"/>
    </xf>
    <xf numFmtId="0" fontId="7" fillId="4" borderId="0" xfId="0" applyFont="1" applyFill="1" applyAlignment="1">
      <alignment vertical="center"/>
    </xf>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cellXfs>
  <cellStyles count="3">
    <cellStyle name="Hyperlink" xfId="1" builtinId="8"/>
    <cellStyle name="Normal" xfId="0" builtinId="0"/>
    <cellStyle name="Percent" xfId="2" builtinId="5"/>
  </cellStyles>
  <dxfs count="408">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4" formatCode="0.00%"/>
    </dxf>
    <dxf>
      <numFmt numFmtId="1" formatCode="0"/>
    </dxf>
    <dxf>
      <numFmt numFmtId="2" formatCode="0.00"/>
    </dxf>
    <dxf>
      <numFmt numFmtId="2" formatCode="0.00"/>
    </dxf>
    <dxf>
      <numFmt numFmtId="1" formatCode="0"/>
    </dxf>
    <dxf>
      <numFmt numFmtId="1" formatCode="0"/>
    </dxf>
    <dxf>
      <numFmt numFmtId="1" formatCode="0"/>
    </dxf>
    <dxf>
      <numFmt numFmtId="2" formatCode="0.00"/>
    </dxf>
    <dxf>
      <font>
        <b/>
        <color theme="1"/>
      </font>
      <border>
        <bottom style="thin">
          <color theme="5"/>
        </bottom>
        <vertical/>
        <horizontal/>
      </border>
    </dxf>
    <dxf>
      <font>
        <sz val="8"/>
        <color rgb="FF50655B"/>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Style" pivot="0" table="0" count="10" xr9:uid="{226E2C76-7EA8-421C-997E-8C39576CC297}">
      <tableStyleElement type="wholeTable" dxfId="407"/>
      <tableStyleElement type="headerRow" dxfId="406"/>
    </tableStyle>
  </tableStyles>
  <colors>
    <mruColors>
      <color rgb="FF003D7A"/>
      <color rgb="FF0F1E64"/>
      <color rgb="FF50655B"/>
      <color rgb="FF1C9B8E"/>
      <color rgb="FF2BB8B3"/>
      <color rgb="FF53DFD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theme="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4.9989318521683403E-2"/>
          </font>
          <fill>
            <patternFill patternType="solid">
              <fgColor rgb="FFFFFFFF"/>
              <bgColor rgb="FF003D7A"/>
            </patternFill>
          </fill>
          <border diagonalUp="0" diagonalDown="0">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[Hospital_ER_Management.xlsx]Pivot Report!PivotTable7</c:name>
    <c:fmtId val="2"/>
  </c:pivotSource>
  <c:chart>
    <c:autoTitleDeleted val="0"/>
    <c:pivotFmts>
      <c:pivotFmt>
        <c:idx val="0"/>
        <c:spPr>
          <a:solidFill>
            <a:srgbClr val="003D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D7A"/>
          </a:solidFill>
          <a:ln>
            <a:noFill/>
          </a:ln>
          <a:effectLst/>
        </c:spPr>
      </c:pivotFmt>
      <c:pivotFmt>
        <c:idx val="3"/>
        <c:spPr>
          <a:solidFill>
            <a:srgbClr val="003D7A"/>
          </a:solidFill>
          <a:ln>
            <a:noFill/>
          </a:ln>
          <a:effectLst/>
        </c:spPr>
      </c:pivotFmt>
    </c:pivotFmts>
    <c:plotArea>
      <c:layout/>
      <c:barChart>
        <c:barDir val="bar"/>
        <c:grouping val="clustered"/>
        <c:varyColors val="0"/>
        <c:ser>
          <c:idx val="0"/>
          <c:order val="0"/>
          <c:tx>
            <c:strRef>
              <c:f>'Pivot Report'!$B$36</c:f>
              <c:strCache>
                <c:ptCount val="1"/>
                <c:pt idx="0">
                  <c:v>Count of Patient Admission Flag</c:v>
                </c:pt>
              </c:strCache>
            </c:strRef>
          </c:tx>
          <c:spPr>
            <a:solidFill>
              <a:srgbClr val="003D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Report'!$A$37:$A$39</c:f>
              <c:strCache>
                <c:ptCount val="2"/>
                <c:pt idx="0">
                  <c:v>Admitted</c:v>
                </c:pt>
                <c:pt idx="1">
                  <c:v>Not Admitted</c:v>
                </c:pt>
              </c:strCache>
            </c:strRef>
          </c:cat>
          <c:val>
            <c:numRef>
              <c:f>'Pivot Report'!$B$37:$B$39</c:f>
              <c:numCache>
                <c:formatCode>0</c:formatCode>
                <c:ptCount val="2"/>
                <c:pt idx="0">
                  <c:v>236</c:v>
                </c:pt>
                <c:pt idx="1">
                  <c:v>230</c:v>
                </c:pt>
              </c:numCache>
            </c:numRef>
          </c:val>
          <c:extLst>
            <c:ext xmlns:c16="http://schemas.microsoft.com/office/drawing/2014/chart" uri="{C3380CC4-5D6E-409C-BE32-E72D297353CC}">
              <c16:uniqueId val="{00000003-4DFD-4CD6-B302-08D705D4F280}"/>
            </c:ext>
          </c:extLst>
        </c:ser>
        <c:ser>
          <c:idx val="1"/>
          <c:order val="1"/>
          <c:tx>
            <c:strRef>
              <c:f>'Pivot Report'!$C$36</c:f>
              <c:strCache>
                <c:ptCount val="1"/>
                <c:pt idx="0">
                  <c:v>Count of Patient Admission Flag2</c:v>
                </c:pt>
              </c:strCache>
            </c:strRef>
          </c:tx>
          <c:spPr>
            <a:solidFill>
              <a:schemeClr val="accent2"/>
            </a:solidFill>
            <a:ln>
              <a:noFill/>
            </a:ln>
            <a:effectLst/>
          </c:spPr>
          <c:invertIfNegative val="0"/>
          <c:cat>
            <c:strRef>
              <c:f>'Pivot Report'!$A$37:$A$39</c:f>
              <c:strCache>
                <c:ptCount val="2"/>
                <c:pt idx="0">
                  <c:v>Admitted</c:v>
                </c:pt>
                <c:pt idx="1">
                  <c:v>Not Admitted</c:v>
                </c:pt>
              </c:strCache>
            </c:strRef>
          </c:cat>
          <c:val>
            <c:numRef>
              <c:f>'Pivot Report'!$C$37:$C$39</c:f>
              <c:numCache>
                <c:formatCode>0.00%</c:formatCode>
                <c:ptCount val="2"/>
                <c:pt idx="0">
                  <c:v>0.50643776824034337</c:v>
                </c:pt>
                <c:pt idx="1">
                  <c:v>0.49356223175965663</c:v>
                </c:pt>
              </c:numCache>
            </c:numRef>
          </c:val>
          <c:extLst>
            <c:ext xmlns:c16="http://schemas.microsoft.com/office/drawing/2014/chart" uri="{C3380CC4-5D6E-409C-BE32-E72D297353CC}">
              <c16:uniqueId val="{00000004-4DFD-4CD6-B302-08D705D4F280}"/>
            </c:ext>
          </c:extLst>
        </c:ser>
        <c:dLbls>
          <c:showLegendKey val="0"/>
          <c:showVal val="0"/>
          <c:showCatName val="0"/>
          <c:showSerName val="0"/>
          <c:showPercent val="0"/>
          <c:showBubbleSize val="0"/>
        </c:dLbls>
        <c:gapWidth val="0"/>
        <c:axId val="2110397472"/>
        <c:axId val="2110395392"/>
      </c:barChart>
      <c:catAx>
        <c:axId val="2110397472"/>
        <c:scaling>
          <c:orientation val="minMax"/>
        </c:scaling>
        <c:delete val="1"/>
        <c:axPos val="l"/>
        <c:numFmt formatCode="General" sourceLinked="1"/>
        <c:majorTickMark val="none"/>
        <c:minorTickMark val="none"/>
        <c:tickLblPos val="nextTo"/>
        <c:crossAx val="2110395392"/>
        <c:crosses val="autoZero"/>
        <c:auto val="1"/>
        <c:lblAlgn val="ctr"/>
        <c:lblOffset val="100"/>
        <c:noMultiLvlLbl val="0"/>
      </c:catAx>
      <c:valAx>
        <c:axId val="2110395392"/>
        <c:scaling>
          <c:orientation val="minMax"/>
        </c:scaling>
        <c:delete val="1"/>
        <c:axPos val="b"/>
        <c:numFmt formatCode="0" sourceLinked="1"/>
        <c:majorTickMark val="none"/>
        <c:minorTickMark val="none"/>
        <c:tickLblPos val="nextTo"/>
        <c:crossAx val="2110397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[Hospital_ER_Management.xlsx]Pivot Report!PivotTable4</c:name>
    <c:fmtId val="11"/>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4847579269666E-3"/>
          <c:y val="5.0960968588603842E-2"/>
          <c:w val="0.99444444444444446"/>
          <c:h val="0.9444058373870744"/>
        </c:manualLayout>
      </c:layout>
      <c:areaChart>
        <c:grouping val="standard"/>
        <c:varyColors val="0"/>
        <c:ser>
          <c:idx val="0"/>
          <c:order val="0"/>
          <c:tx>
            <c:strRef>
              <c:f>'Pivot Report'!$G$4</c:f>
              <c:strCache>
                <c:ptCount val="1"/>
                <c:pt idx="0">
                  <c:v>Total</c:v>
                </c:pt>
              </c:strCache>
            </c:strRef>
          </c:tx>
          <c:spPr>
            <a:solidFill>
              <a:schemeClr val="accent2"/>
            </a:solidFill>
            <a:ln w="25400">
              <a:noFill/>
            </a:ln>
            <a:effectLst/>
          </c:spPr>
          <c:cat>
            <c:strRef>
              <c:f>'Pivot Report'!$F$5:$F$35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Report'!$G$5:$G$35</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2-497E-4723-9020-145DBB090303}"/>
            </c:ext>
          </c:extLst>
        </c:ser>
        <c:dLbls>
          <c:showLegendKey val="0"/>
          <c:showVal val="0"/>
          <c:showCatName val="0"/>
          <c:showSerName val="0"/>
          <c:showPercent val="0"/>
          <c:showBubbleSize val="0"/>
        </c:dLbls>
        <c:axId val="646945360"/>
        <c:axId val="646945776"/>
      </c:areaChart>
      <c:catAx>
        <c:axId val="646945360"/>
        <c:scaling>
          <c:orientation val="minMax"/>
        </c:scaling>
        <c:delete val="1"/>
        <c:axPos val="b"/>
        <c:numFmt formatCode="General" sourceLinked="1"/>
        <c:majorTickMark val="out"/>
        <c:minorTickMark val="none"/>
        <c:tickLblPos val="nextTo"/>
        <c:crossAx val="646945776"/>
        <c:crosses val="autoZero"/>
        <c:auto val="1"/>
        <c:lblAlgn val="ctr"/>
        <c:lblOffset val="100"/>
        <c:noMultiLvlLbl val="0"/>
      </c:catAx>
      <c:valAx>
        <c:axId val="646945776"/>
        <c:scaling>
          <c:orientation val="minMax"/>
        </c:scaling>
        <c:delete val="1"/>
        <c:axPos val="l"/>
        <c:numFmt formatCode="General" sourceLinked="1"/>
        <c:majorTickMark val="none"/>
        <c:minorTickMark val="none"/>
        <c:tickLblPos val="nextTo"/>
        <c:crossAx val="6469453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[Hospital_ER_Management.xlsx]Pivot Report!PivotTable5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9355412046514E-3"/>
          <c:y val="0.17207057451151941"/>
          <c:w val="0.99722222222222223"/>
          <c:h val="0.82792942548848059"/>
        </c:manualLayout>
      </c:layout>
      <c:areaChart>
        <c:grouping val="standard"/>
        <c:varyColors val="0"/>
        <c:ser>
          <c:idx val="0"/>
          <c:order val="0"/>
          <c:tx>
            <c:strRef>
              <c:f>'Pivot Report'!$K$4</c:f>
              <c:strCache>
                <c:ptCount val="1"/>
                <c:pt idx="0">
                  <c:v>Total</c:v>
                </c:pt>
              </c:strCache>
            </c:strRef>
          </c:tx>
          <c:spPr>
            <a:solidFill>
              <a:schemeClr val="accent2"/>
            </a:solidFill>
            <a:ln w="25400">
              <a:noFill/>
            </a:ln>
            <a:effectLst/>
          </c:spPr>
          <c:cat>
            <c:strRef>
              <c:f>'Pivot Report'!$J$5:$J$35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Report'!$K$5:$K$35</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2-E27E-43CE-9BA7-83517FAD1469}"/>
            </c:ext>
          </c:extLst>
        </c:ser>
        <c:dLbls>
          <c:showLegendKey val="0"/>
          <c:showVal val="0"/>
          <c:showCatName val="0"/>
          <c:showSerName val="0"/>
          <c:showPercent val="0"/>
          <c:showBubbleSize val="0"/>
        </c:dLbls>
        <c:axId val="1866895824"/>
        <c:axId val="1866896240"/>
      </c:areaChart>
      <c:catAx>
        <c:axId val="1866895824"/>
        <c:scaling>
          <c:orientation val="minMax"/>
        </c:scaling>
        <c:delete val="1"/>
        <c:axPos val="b"/>
        <c:numFmt formatCode="General" sourceLinked="1"/>
        <c:majorTickMark val="out"/>
        <c:minorTickMark val="none"/>
        <c:tickLblPos val="nextTo"/>
        <c:crossAx val="1866896240"/>
        <c:crosses val="autoZero"/>
        <c:auto val="1"/>
        <c:lblAlgn val="ctr"/>
        <c:lblOffset val="100"/>
        <c:noMultiLvlLbl val="0"/>
      </c:catAx>
      <c:valAx>
        <c:axId val="1866896240"/>
        <c:scaling>
          <c:orientation val="minMax"/>
        </c:scaling>
        <c:delete val="1"/>
        <c:axPos val="l"/>
        <c:numFmt formatCode="0.00" sourceLinked="1"/>
        <c:majorTickMark val="none"/>
        <c:minorTickMark val="none"/>
        <c:tickLblPos val="nextTo"/>
        <c:crossAx val="18668958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[Hospital_ER_Management.xlsx]Pivot Report!PivotTable6</c:name>
    <c:fmtId val="19"/>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0961258700566239E-2"/>
          <c:w val="0.99870550271767966"/>
          <c:h val="0.94801478466877043"/>
        </c:manualLayout>
      </c:layout>
      <c:areaChart>
        <c:grouping val="standard"/>
        <c:varyColors val="0"/>
        <c:ser>
          <c:idx val="0"/>
          <c:order val="0"/>
          <c:tx>
            <c:strRef>
              <c:f>'Pivot Report'!$O$4</c:f>
              <c:strCache>
                <c:ptCount val="1"/>
                <c:pt idx="0">
                  <c:v>Total</c:v>
                </c:pt>
              </c:strCache>
            </c:strRef>
          </c:tx>
          <c:spPr>
            <a:solidFill>
              <a:schemeClr val="accent2"/>
            </a:solidFill>
            <a:ln w="25400">
              <a:noFill/>
            </a:ln>
            <a:effectLst/>
          </c:spPr>
          <c:cat>
            <c:strRef>
              <c:f>'Pivot Report'!$N$5:$N$34</c:f>
              <c:strCache>
                <c:ptCount val="29"/>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strCache>
            </c:strRef>
          </c:cat>
          <c:val>
            <c:numRef>
              <c:f>'Pivot Report'!$O$5:$O$34</c:f>
              <c:numCache>
                <c:formatCode>0.00</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2-B54D-4BF6-91C6-25DB5EB99E73}"/>
            </c:ext>
          </c:extLst>
        </c:ser>
        <c:dLbls>
          <c:showLegendKey val="0"/>
          <c:showVal val="0"/>
          <c:showCatName val="0"/>
          <c:showSerName val="0"/>
          <c:showPercent val="0"/>
          <c:showBubbleSize val="0"/>
        </c:dLbls>
        <c:axId val="642044720"/>
        <c:axId val="642041808"/>
      </c:areaChart>
      <c:catAx>
        <c:axId val="642044720"/>
        <c:scaling>
          <c:orientation val="minMax"/>
        </c:scaling>
        <c:delete val="1"/>
        <c:axPos val="b"/>
        <c:numFmt formatCode="General" sourceLinked="1"/>
        <c:majorTickMark val="out"/>
        <c:minorTickMark val="none"/>
        <c:tickLblPos val="nextTo"/>
        <c:crossAx val="642041808"/>
        <c:crosses val="autoZero"/>
        <c:auto val="1"/>
        <c:lblAlgn val="ctr"/>
        <c:lblOffset val="100"/>
        <c:noMultiLvlLbl val="0"/>
      </c:catAx>
      <c:valAx>
        <c:axId val="642041808"/>
        <c:scaling>
          <c:orientation val="minMax"/>
        </c:scaling>
        <c:delete val="1"/>
        <c:axPos val="l"/>
        <c:numFmt formatCode="0.00" sourceLinked="1"/>
        <c:majorTickMark val="none"/>
        <c:minorTickMark val="none"/>
        <c:tickLblPos val="nextTo"/>
        <c:crossAx val="64204472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[Hospital_ER_Management.xlsx]Pivot Report!PivotTable8</c:name>
    <c:fmtId val="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D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3D7A"/>
          </a:solidFill>
          <a:ln>
            <a:noFill/>
          </a:ln>
          <a:effectLst/>
        </c:spPr>
      </c:pivotFmt>
    </c:pivotFmts>
    <c:plotArea>
      <c:layout/>
      <c:barChart>
        <c:barDir val="col"/>
        <c:grouping val="clustered"/>
        <c:varyColors val="0"/>
        <c:ser>
          <c:idx val="0"/>
          <c:order val="0"/>
          <c:tx>
            <c:strRef>
              <c:f>'Pivot Report'!$B$50</c:f>
              <c:strCache>
                <c:ptCount val="1"/>
                <c:pt idx="0">
                  <c:v>Total</c:v>
                </c:pt>
              </c:strCache>
            </c:strRef>
          </c:tx>
          <c:spPr>
            <a:solidFill>
              <a:srgbClr val="003D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0-09</c:v>
                </c:pt>
                <c:pt idx="1">
                  <c:v>10-19</c:v>
                </c:pt>
                <c:pt idx="2">
                  <c:v>20-29</c:v>
                </c:pt>
                <c:pt idx="3">
                  <c:v>30-39</c:v>
                </c:pt>
                <c:pt idx="4">
                  <c:v>40-49</c:v>
                </c:pt>
                <c:pt idx="5">
                  <c:v>50-59</c:v>
                </c:pt>
                <c:pt idx="6">
                  <c:v>60-69</c:v>
                </c:pt>
                <c:pt idx="7">
                  <c:v>70-79</c:v>
                </c:pt>
              </c:strCache>
            </c:strRef>
          </c:cat>
          <c:val>
            <c:numRef>
              <c:f>'Pivot Report'!$B$51:$B$59</c:f>
              <c:numCache>
                <c:formatCode>0</c:formatCode>
                <c:ptCount val="8"/>
                <c:pt idx="0">
                  <c:v>58</c:v>
                </c:pt>
                <c:pt idx="1">
                  <c:v>61</c:v>
                </c:pt>
                <c:pt idx="2">
                  <c:v>64</c:v>
                </c:pt>
                <c:pt idx="3">
                  <c:v>64</c:v>
                </c:pt>
                <c:pt idx="4">
                  <c:v>65</c:v>
                </c:pt>
                <c:pt idx="5">
                  <c:v>52</c:v>
                </c:pt>
                <c:pt idx="6">
                  <c:v>57</c:v>
                </c:pt>
                <c:pt idx="7">
                  <c:v>45</c:v>
                </c:pt>
              </c:numCache>
            </c:numRef>
          </c:val>
          <c:extLst>
            <c:ext xmlns:c16="http://schemas.microsoft.com/office/drawing/2014/chart" uri="{C3380CC4-5D6E-409C-BE32-E72D297353CC}">
              <c16:uniqueId val="{00000002-5568-4B4E-9D0D-01B62C122B8C}"/>
            </c:ext>
          </c:extLst>
        </c:ser>
        <c:dLbls>
          <c:showLegendKey val="0"/>
          <c:showVal val="0"/>
          <c:showCatName val="0"/>
          <c:showSerName val="0"/>
          <c:showPercent val="0"/>
          <c:showBubbleSize val="0"/>
        </c:dLbls>
        <c:gapWidth val="219"/>
        <c:overlap val="-27"/>
        <c:axId val="1443214672"/>
        <c:axId val="1443215920"/>
      </c:barChart>
      <c:catAx>
        <c:axId val="1443214672"/>
        <c:scaling>
          <c:orientation val="minMax"/>
        </c:scaling>
        <c:delete val="0"/>
        <c:axPos val="b"/>
        <c:numFmt formatCode="General" sourceLinked="1"/>
        <c:majorTickMark val="none"/>
        <c:minorTickMark val="none"/>
        <c:tickLblPos val="nextTo"/>
        <c:spPr>
          <a:noFill/>
          <a:ln w="9525" cap="flat" cmpd="sng" algn="ctr">
            <a:solidFill>
              <a:srgbClr val="0F1E64"/>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43215920"/>
        <c:crosses val="autoZero"/>
        <c:auto val="1"/>
        <c:lblAlgn val="ctr"/>
        <c:lblOffset val="100"/>
        <c:noMultiLvlLbl val="0"/>
      </c:catAx>
      <c:valAx>
        <c:axId val="1443215920"/>
        <c:scaling>
          <c:orientation val="minMax"/>
        </c:scaling>
        <c:delete val="1"/>
        <c:axPos val="l"/>
        <c:numFmt formatCode="0" sourceLinked="1"/>
        <c:majorTickMark val="none"/>
        <c:minorTickMark val="none"/>
        <c:tickLblPos val="nextTo"/>
        <c:crossAx val="1443214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[Hospital_ER_Management.xlsx]Pivot Report!PivotTable9</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3D7A"/>
          </a:solidFill>
          <a:ln>
            <a:noFill/>
          </a:ln>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fld id="{3224E400-32CB-4D36-8839-9390E1073600}" type="PERCENTAGE">
                  <a:rPr lang="en-US" sz="600">
                    <a:latin typeface="Arial" panose="020B0604020202020204" pitchFamily="34" charset="0"/>
                    <a:cs typeface="Arial" panose="020B0604020202020204" pitchFamily="34" charset="0"/>
                  </a:rPr>
                  <a:pPr>
                    <a:defRPr sz="600"/>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6119329571992478"/>
                  <c:h val="0.22495511453154185"/>
                </c:manualLayout>
              </c15:layout>
              <c15:dlblFieldTable/>
              <c15:showDataLabelsRange val="0"/>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fld id="{DE68D458-9DF5-48F3-BCEF-E03599BE0261}" type="PERCENTAGE">
                  <a:rPr lang="en-US" sz="600">
                    <a:latin typeface="Arial" panose="020B0604020202020204" pitchFamily="34" charset="0"/>
                    <a:cs typeface="Arial" panose="020B0604020202020204" pitchFamily="34" charset="0"/>
                  </a:rPr>
                  <a:pPr>
                    <a:defRPr sz="600"/>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5322834645669284"/>
                  <c:h val="0.22495511453154185"/>
                </c:manualLayout>
              </c15:layout>
              <c15:dlblFieldTable/>
              <c15:showDataLabelsRange val="0"/>
            </c:ext>
          </c:extLst>
        </c:dLbl>
      </c:pivotFmt>
    </c:pivotFmts>
    <c:plotArea>
      <c:layout>
        <c:manualLayout>
          <c:layoutTarget val="inner"/>
          <c:xMode val="edge"/>
          <c:yMode val="edge"/>
          <c:x val="9.4773389546779094E-2"/>
          <c:y val="0.19855231506867782"/>
          <c:w val="0.82788765577531165"/>
          <c:h val="0.71041761397291203"/>
        </c:manualLayout>
      </c:layout>
      <c:pieChart>
        <c:varyColors val="1"/>
        <c:ser>
          <c:idx val="0"/>
          <c:order val="0"/>
          <c:tx>
            <c:strRef>
              <c:f>'Pivot Report'!$B$64</c:f>
              <c:strCache>
                <c:ptCount val="1"/>
                <c:pt idx="0">
                  <c:v>Total</c:v>
                </c:pt>
              </c:strCache>
            </c:strRef>
          </c:tx>
          <c:spPr>
            <a:effectLst/>
          </c:spPr>
          <c:dPt>
            <c:idx val="0"/>
            <c:bubble3D val="0"/>
            <c:spPr>
              <a:solidFill>
                <a:srgbClr val="003D7A"/>
              </a:solidFill>
              <a:ln>
                <a:noFill/>
              </a:ln>
              <a:effectLst/>
            </c:spPr>
          </c:dPt>
          <c:dPt>
            <c:idx val="1"/>
            <c:bubble3D val="0"/>
            <c:spPr>
              <a:solidFill>
                <a:schemeClr val="accent2"/>
              </a:solidFill>
              <a:ln>
                <a:noFill/>
              </a:ln>
              <a:effectLst/>
            </c:spPr>
          </c:dPt>
          <c:dLbls>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fld id="{3224E400-32CB-4D36-8839-9390E1073600}" type="PERCENTAGE">
                      <a:rPr lang="en-US" sz="600">
                        <a:latin typeface="Arial" panose="020B0604020202020204" pitchFamily="34" charset="0"/>
                        <a:cs typeface="Arial" panose="020B0604020202020204" pitchFamily="34" charset="0"/>
                      </a:rPr>
                      <a:pPr>
                        <a:defRPr sz="600"/>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6119329571992478"/>
                      <c:h val="0.22495511453154185"/>
                    </c:manualLayout>
                  </c15:layout>
                  <c15:dlblFieldTable/>
                  <c15:showDataLabelsRange val="0"/>
                </c:ext>
              </c:extLst>
            </c:dLbl>
            <c:dLbl>
              <c:idx val="1"/>
              <c:tx>
                <c:rich>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fld id="{DE68D458-9DF5-48F3-BCEF-E03599BE0261}" type="PERCENTAGE">
                      <a:rPr lang="en-US" sz="600">
                        <a:latin typeface="Arial" panose="020B0604020202020204" pitchFamily="34" charset="0"/>
                        <a:cs typeface="Arial" panose="020B0604020202020204" pitchFamily="34" charset="0"/>
                      </a:rPr>
                      <a:pPr>
                        <a:defRPr sz="600"/>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5322834645669284"/>
                      <c:h val="0.22495511453154185"/>
                    </c:manualLayout>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Report'!$A$65:$A$67</c:f>
              <c:strCache>
                <c:ptCount val="2"/>
                <c:pt idx="0">
                  <c:v>Delay</c:v>
                </c:pt>
                <c:pt idx="1">
                  <c:v>Ontime</c:v>
                </c:pt>
              </c:strCache>
            </c:strRef>
          </c:cat>
          <c:val>
            <c:numRef>
              <c:f>'Pivot Report'!$B$65:$B$67</c:f>
              <c:numCache>
                <c:formatCode>0</c:formatCode>
                <c:ptCount val="2"/>
                <c:pt idx="0">
                  <c:v>278</c:v>
                </c:pt>
                <c:pt idx="1">
                  <c:v>188</c:v>
                </c:pt>
              </c:numCache>
            </c:numRef>
          </c:val>
          <c:extLst>
            <c:ext xmlns:c16="http://schemas.microsoft.com/office/drawing/2014/chart" uri="{C3380CC4-5D6E-409C-BE32-E72D297353CC}">
              <c16:uniqueId val="{00000006-4FE0-4F74-886D-DD5B79F7C63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legendEntry>
      <c:layout>
        <c:manualLayout>
          <c:xMode val="edge"/>
          <c:yMode val="edge"/>
          <c:x val="6.6488347248051249E-2"/>
          <c:y val="1.9229251466360456E-2"/>
          <c:w val="0.89649947299894595"/>
          <c:h val="0.18468907192244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[Hospital_ER_Management.xlsx]Pivot Report!PivotTable10</c:name>
    <c:fmtId val="12"/>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3D7A"/>
          </a:solidFill>
          <a:ln>
            <a:noFill/>
          </a:ln>
          <a:effectLst/>
        </c:spPr>
      </c:pivotFmt>
      <c:pivotFmt>
        <c:idx val="6"/>
        <c:spPr>
          <a:solidFill>
            <a:schemeClr val="accent1"/>
          </a:solidFill>
          <a:ln>
            <a:noFill/>
          </a:ln>
          <a:effectLst/>
        </c:spPr>
      </c:pivotFmt>
    </c:pivotFmts>
    <c:plotArea>
      <c:layout>
        <c:manualLayout>
          <c:layoutTarget val="inner"/>
          <c:xMode val="edge"/>
          <c:yMode val="edge"/>
          <c:x val="9.8713170258106456E-2"/>
          <c:y val="0.19643688843722182"/>
          <c:w val="0.80727420827882412"/>
          <c:h val="0.68717962007204114"/>
        </c:manualLayout>
      </c:layout>
      <c:doughnutChart>
        <c:varyColors val="1"/>
        <c:ser>
          <c:idx val="0"/>
          <c:order val="0"/>
          <c:tx>
            <c:strRef>
              <c:f>'Pivot Report'!$B$72</c:f>
              <c:strCache>
                <c:ptCount val="1"/>
                <c:pt idx="0">
                  <c:v>Total</c:v>
                </c:pt>
              </c:strCache>
            </c:strRef>
          </c:tx>
          <c:dPt>
            <c:idx val="0"/>
            <c:bubble3D val="0"/>
            <c:spPr>
              <a:solidFill>
                <a:srgbClr val="003D7A"/>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Report'!$A$73:$A$75</c:f>
              <c:strCache>
                <c:ptCount val="2"/>
                <c:pt idx="0">
                  <c:v>Female</c:v>
                </c:pt>
                <c:pt idx="1">
                  <c:v>Male</c:v>
                </c:pt>
              </c:strCache>
            </c:strRef>
          </c:cat>
          <c:val>
            <c:numRef>
              <c:f>'Pivot Report'!$B$73:$B$75</c:f>
              <c:numCache>
                <c:formatCode>0</c:formatCode>
                <c:ptCount val="2"/>
                <c:pt idx="0">
                  <c:v>237</c:v>
                </c:pt>
                <c:pt idx="1">
                  <c:v>229</c:v>
                </c:pt>
              </c:numCache>
            </c:numRef>
          </c:val>
          <c:extLst>
            <c:ext xmlns:c16="http://schemas.microsoft.com/office/drawing/2014/chart" uri="{C3380CC4-5D6E-409C-BE32-E72D297353CC}">
              <c16:uniqueId val="{00000006-7118-40DC-BADA-9B82BA190E6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legendEntry>
      <c:layout>
        <c:manualLayout>
          <c:xMode val="edge"/>
          <c:yMode val="edge"/>
          <c:x val="7.1055381400208992E-2"/>
          <c:y val="3.0795694345904914E-2"/>
          <c:w val="0.83124511473683349"/>
          <c:h val="0.149416198521218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[Hospital_ER_Management.xlsx]Pivot Report!PivotTable11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3D7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Report'!$B$80</c:f>
              <c:strCache>
                <c:ptCount val="1"/>
                <c:pt idx="0">
                  <c:v>Total</c:v>
                </c:pt>
              </c:strCache>
            </c:strRef>
          </c:tx>
          <c:spPr>
            <a:solidFill>
              <a:srgbClr val="003D7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Report'!$A$81:$A$89</c:f>
              <c:strCache>
                <c:ptCount val="8"/>
                <c:pt idx="0">
                  <c:v>Renal</c:v>
                </c:pt>
                <c:pt idx="1">
                  <c:v>Cardiology</c:v>
                </c:pt>
                <c:pt idx="2">
                  <c:v>Neurology</c:v>
                </c:pt>
                <c:pt idx="3">
                  <c:v>Gastroenterology</c:v>
                </c:pt>
                <c:pt idx="4">
                  <c:v>Physiotherapy</c:v>
                </c:pt>
                <c:pt idx="5">
                  <c:v>Orthopedics</c:v>
                </c:pt>
                <c:pt idx="6">
                  <c:v>General Practice</c:v>
                </c:pt>
                <c:pt idx="7">
                  <c:v>None</c:v>
                </c:pt>
              </c:strCache>
            </c:strRef>
          </c:cat>
          <c:val>
            <c:numRef>
              <c:f>'Pivot Report'!$B$81:$B$89</c:f>
              <c:numCache>
                <c:formatCode>0</c:formatCode>
                <c:ptCount val="8"/>
                <c:pt idx="0">
                  <c:v>6</c:v>
                </c:pt>
                <c:pt idx="1">
                  <c:v>9</c:v>
                </c:pt>
                <c:pt idx="2">
                  <c:v>10</c:v>
                </c:pt>
                <c:pt idx="3">
                  <c:v>11</c:v>
                </c:pt>
                <c:pt idx="4">
                  <c:v>12</c:v>
                </c:pt>
                <c:pt idx="5">
                  <c:v>47</c:v>
                </c:pt>
                <c:pt idx="6">
                  <c:v>98</c:v>
                </c:pt>
                <c:pt idx="7">
                  <c:v>273</c:v>
                </c:pt>
              </c:numCache>
            </c:numRef>
          </c:val>
          <c:extLst>
            <c:ext xmlns:c16="http://schemas.microsoft.com/office/drawing/2014/chart" uri="{C3380CC4-5D6E-409C-BE32-E72D297353CC}">
              <c16:uniqueId val="{00000002-17D7-4EBC-9194-78393FF3E331}"/>
            </c:ext>
          </c:extLst>
        </c:ser>
        <c:dLbls>
          <c:showLegendKey val="0"/>
          <c:showVal val="0"/>
          <c:showCatName val="0"/>
          <c:showSerName val="0"/>
          <c:showPercent val="0"/>
          <c:showBubbleSize val="0"/>
        </c:dLbls>
        <c:gapWidth val="182"/>
        <c:axId val="415204032"/>
        <c:axId val="415204448"/>
      </c:barChart>
      <c:catAx>
        <c:axId val="415204032"/>
        <c:scaling>
          <c:orientation val="minMax"/>
        </c:scaling>
        <c:delete val="0"/>
        <c:axPos val="l"/>
        <c:numFmt formatCode="General" sourceLinked="1"/>
        <c:majorTickMark val="none"/>
        <c:minorTickMark val="none"/>
        <c:tickLblPos val="nextTo"/>
        <c:spPr>
          <a:noFill/>
          <a:ln w="9525" cap="flat" cmpd="sng" algn="ctr">
            <a:solidFill>
              <a:srgbClr val="003D7A"/>
            </a:solidFill>
            <a:round/>
          </a:ln>
          <a:effectLst/>
        </c:spPr>
        <c:txPr>
          <a:bodyPr rot="-60000000" spcFirstLastPara="1" vertOverflow="ellipsis" vert="horz" wrap="square" anchor="ctr" anchorCtr="1"/>
          <a:lstStyle/>
          <a:p>
            <a:pPr>
              <a:defRPr sz="6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crossAx val="415204448"/>
        <c:crosses val="autoZero"/>
        <c:auto val="1"/>
        <c:lblAlgn val="ctr"/>
        <c:lblOffset val="100"/>
        <c:noMultiLvlLbl val="0"/>
      </c:catAx>
      <c:valAx>
        <c:axId val="415204448"/>
        <c:scaling>
          <c:orientation val="minMax"/>
        </c:scaling>
        <c:delete val="1"/>
        <c:axPos val="b"/>
        <c:numFmt formatCode="0" sourceLinked="1"/>
        <c:majorTickMark val="none"/>
        <c:minorTickMark val="none"/>
        <c:tickLblPos val="nextTo"/>
        <c:crossAx val="41520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[Hospital_ER_Management.xlsx]Pivot Report!PivotTable4</c:name>
    <c:fmtId val="8"/>
  </c:pivotSource>
  <c:chart>
    <c:autoTitleDeleted val="1"/>
    <c:pivotFmts>
      <c:pivotFmt>
        <c:idx val="0"/>
      </c:pivotFmt>
      <c:pivotFmt>
        <c:idx val="1"/>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481690735076287E-2"/>
          <c:y val="5.1927301777511481E-2"/>
          <c:w val="0.9138490041685966"/>
          <c:h val="0.80501659880891163"/>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Report'!$G$5:$G$35</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1-8BEA-4E51-9E06-C30A8030BC3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22004144"/>
        <c:axId val="721999152"/>
      </c:areaChart>
      <c:catAx>
        <c:axId val="7220041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1999152"/>
        <c:crosses val="autoZero"/>
        <c:auto val="1"/>
        <c:lblAlgn val="ctr"/>
        <c:lblOffset val="100"/>
        <c:noMultiLvlLbl val="0"/>
      </c:catAx>
      <c:valAx>
        <c:axId val="721999152"/>
        <c:scaling>
          <c:orientation val="minMax"/>
        </c:scaling>
        <c:delete val="1"/>
        <c:axPos val="l"/>
        <c:numFmt formatCode="General" sourceLinked="1"/>
        <c:majorTickMark val="out"/>
        <c:minorTickMark val="none"/>
        <c:tickLblPos val="nextTo"/>
        <c:crossAx val="7220041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03D7A"/>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[Hospital_ER_Management.xlsx]Pivot Report!PivotTable5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549540682414699E-2"/>
          <c:y val="7.140307033202428E-3"/>
          <c:w val="0.95581758530183725"/>
          <c:h val="0.80673981264658945"/>
        </c:manualLayout>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Report'!$K$5:$K$35</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1-4D78-4148-871C-DA4C24892E3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86449904"/>
        <c:axId val="1186447824"/>
      </c:areaChart>
      <c:catAx>
        <c:axId val="11864499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86447824"/>
        <c:crosses val="autoZero"/>
        <c:auto val="1"/>
        <c:lblAlgn val="ctr"/>
        <c:lblOffset val="100"/>
        <c:noMultiLvlLbl val="0"/>
      </c:catAx>
      <c:valAx>
        <c:axId val="1186447824"/>
        <c:scaling>
          <c:orientation val="minMax"/>
        </c:scaling>
        <c:delete val="1"/>
        <c:axPos val="l"/>
        <c:numFmt formatCode="0.00" sourceLinked="1"/>
        <c:majorTickMark val="out"/>
        <c:minorTickMark val="none"/>
        <c:tickLblPos val="nextTo"/>
        <c:crossAx val="11864499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03D7A"/>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[Hospital_ER_Management.xlsx]Pivot Report!PivotTable6</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858651775996124E-2"/>
          <c:y val="2.5676942161079526E-2"/>
          <c:w val="0.95597547118996284"/>
          <c:h val="0.86648394437532517"/>
        </c:manualLayout>
      </c:layout>
      <c:areaChart>
        <c:grouping val="standard"/>
        <c:varyColors val="0"/>
        <c:ser>
          <c:idx val="0"/>
          <c:order val="0"/>
          <c:tx>
            <c:strRef>
              <c:f>'Pivot Report'!$O$4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Report'!$N$5:$N$34</c:f>
              <c:strCache>
                <c:ptCount val="29"/>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strCache>
            </c:strRef>
          </c:cat>
          <c:val>
            <c:numRef>
              <c:f>'Pivot Report'!$O$5:$O$34</c:f>
              <c:numCache>
                <c:formatCode>0.00</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1-C9E6-47E3-83E1-B9E6138C4C1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44945295"/>
        <c:axId val="344947375"/>
      </c:areaChart>
      <c:catAx>
        <c:axId val="3449452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44947375"/>
        <c:crosses val="autoZero"/>
        <c:auto val="1"/>
        <c:lblAlgn val="ctr"/>
        <c:lblOffset val="100"/>
        <c:noMultiLvlLbl val="0"/>
      </c:catAx>
      <c:valAx>
        <c:axId val="344947375"/>
        <c:scaling>
          <c:orientation val="minMax"/>
        </c:scaling>
        <c:delete val="1"/>
        <c:axPos val="l"/>
        <c:numFmt formatCode="0.00" sourceLinked="1"/>
        <c:majorTickMark val="out"/>
        <c:minorTickMark val="none"/>
        <c:tickLblPos val="nextTo"/>
        <c:crossAx val="34494529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03D7A"/>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chart" Target="../charts/chart8.xml"/><Relationship Id="rId3" Type="http://schemas.openxmlformats.org/officeDocument/2006/relationships/chart" Target="../charts/chart2.xml"/><Relationship Id="rId7" Type="http://schemas.openxmlformats.org/officeDocument/2006/relationships/chart" Target="../charts/chart4.xml"/><Relationship Id="rId12" Type="http://schemas.openxmlformats.org/officeDocument/2006/relationships/image" Target="../media/image6.png"/><Relationship Id="rId17" Type="http://schemas.openxmlformats.org/officeDocument/2006/relationships/chart" Target="../charts/chart7.xml"/><Relationship Id="rId2" Type="http://schemas.openxmlformats.org/officeDocument/2006/relationships/hyperlink" Target="#'Daily ER No of Patient'!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hyperlink" Target="#Patient_Satisfaction!A1"/><Relationship Id="rId11" Type="http://schemas.openxmlformats.org/officeDocument/2006/relationships/image" Target="../media/image5.svg"/><Relationship Id="rId5" Type="http://schemas.openxmlformats.org/officeDocument/2006/relationships/chart" Target="../charts/chart3.xml"/><Relationship Id="rId1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hyperlink" Target="#'Average Wait Time'!A1"/><Relationship Id="rId9" Type="http://schemas.openxmlformats.org/officeDocument/2006/relationships/image" Target="../media/image3.svg"/><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hyperlink" Target="#Main_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hyperlink" Target="#Main_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hyperlink" Target="#Main_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808672</xdr:colOff>
      <xdr:row>41</xdr:row>
      <xdr:rowOff>49530</xdr:rowOff>
    </xdr:from>
    <xdr:to>
      <xdr:col>3</xdr:col>
      <xdr:colOff>2108834</xdr:colOff>
      <xdr:row>44</xdr:row>
      <xdr:rowOff>116205</xdr:rowOff>
    </xdr:to>
    <xdr:graphicFrame macro="">
      <xdr:nvGraphicFramePr>
        <xdr:cNvPr id="8" name="Chart 7">
          <a:extLst>
            <a:ext uri="{FF2B5EF4-FFF2-40B4-BE49-F238E27FC236}">
              <a16:creationId xmlns:a16="http://schemas.microsoft.com/office/drawing/2014/main" id="{5D80D338-7429-4DE6-80C4-98CBF3EE6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60959</xdr:colOff>
      <xdr:row>0</xdr:row>
      <xdr:rowOff>38101</xdr:rowOff>
    </xdr:from>
    <xdr:to>
      <xdr:col>5</xdr:col>
      <xdr:colOff>482918</xdr:colOff>
      <xdr:row>3</xdr:row>
      <xdr:rowOff>48578</xdr:rowOff>
    </xdr:to>
    <xdr:sp macro="" textlink="">
      <xdr:nvSpPr>
        <xdr:cNvPr id="2" name="Rectangle 1">
          <a:extLst>
            <a:ext uri="{FF2B5EF4-FFF2-40B4-BE49-F238E27FC236}">
              <a16:creationId xmlns:a16="http://schemas.microsoft.com/office/drawing/2014/main" id="{E82F6C10-C346-48F1-851A-B536B24D7B66}"/>
            </a:ext>
          </a:extLst>
        </xdr:cNvPr>
        <xdr:cNvSpPr/>
      </xdr:nvSpPr>
      <xdr:spPr>
        <a:xfrm>
          <a:off x="60959" y="38101"/>
          <a:ext cx="3489009" cy="524827"/>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509588</xdr:colOff>
      <xdr:row>0</xdr:row>
      <xdr:rowOff>38101</xdr:rowOff>
    </xdr:from>
    <xdr:to>
      <xdr:col>7</xdr:col>
      <xdr:colOff>286703</xdr:colOff>
      <xdr:row>3</xdr:row>
      <xdr:rowOff>50483</xdr:rowOff>
    </xdr:to>
    <xdr:sp macro="" textlink="">
      <xdr:nvSpPr>
        <xdr:cNvPr id="3" name="Rectangle 2">
          <a:extLst>
            <a:ext uri="{FF2B5EF4-FFF2-40B4-BE49-F238E27FC236}">
              <a16:creationId xmlns:a16="http://schemas.microsoft.com/office/drawing/2014/main" id="{C9B5CE9E-3AD6-4FF6-8418-AE9BF3F838F3}"/>
            </a:ext>
          </a:extLst>
        </xdr:cNvPr>
        <xdr:cNvSpPr/>
      </xdr:nvSpPr>
      <xdr:spPr>
        <a:xfrm>
          <a:off x="3576638" y="38101"/>
          <a:ext cx="996315" cy="526732"/>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54292</xdr:colOff>
      <xdr:row>3</xdr:row>
      <xdr:rowOff>85725</xdr:rowOff>
    </xdr:from>
    <xdr:to>
      <xdr:col>1</xdr:col>
      <xdr:colOff>285750</xdr:colOff>
      <xdr:row>20</xdr:row>
      <xdr:rowOff>952</xdr:rowOff>
    </xdr:to>
    <xdr:sp macro="" textlink="">
      <xdr:nvSpPr>
        <xdr:cNvPr id="9" name="Rectangle 8">
          <a:extLst>
            <a:ext uri="{FF2B5EF4-FFF2-40B4-BE49-F238E27FC236}">
              <a16:creationId xmlns:a16="http://schemas.microsoft.com/office/drawing/2014/main" id="{B5E2DC5E-86F1-40A7-90D8-A9A59B6D8AA3}"/>
            </a:ext>
          </a:extLst>
        </xdr:cNvPr>
        <xdr:cNvSpPr/>
      </xdr:nvSpPr>
      <xdr:spPr>
        <a:xfrm>
          <a:off x="54292" y="600075"/>
          <a:ext cx="841058" cy="2829877"/>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327659</xdr:colOff>
      <xdr:row>3</xdr:row>
      <xdr:rowOff>95250</xdr:rowOff>
    </xdr:from>
    <xdr:to>
      <xdr:col>7</xdr:col>
      <xdr:colOff>284799</xdr:colOff>
      <xdr:row>9</xdr:row>
      <xdr:rowOff>79058</xdr:rowOff>
    </xdr:to>
    <xdr:grpSp>
      <xdr:nvGrpSpPr>
        <xdr:cNvPr id="23" name="Group 22">
          <a:extLst>
            <a:ext uri="{FF2B5EF4-FFF2-40B4-BE49-F238E27FC236}">
              <a16:creationId xmlns:a16="http://schemas.microsoft.com/office/drawing/2014/main" id="{F6EDA810-CB8D-467D-A0AF-0CBA349397F3}"/>
            </a:ext>
          </a:extLst>
        </xdr:cNvPr>
        <xdr:cNvGrpSpPr/>
      </xdr:nvGrpSpPr>
      <xdr:grpSpPr>
        <a:xfrm>
          <a:off x="933449" y="605790"/>
          <a:ext cx="3641410" cy="1016318"/>
          <a:chOff x="933449" y="600075"/>
          <a:chExt cx="3641410" cy="1022033"/>
        </a:xfrm>
      </xdr:grpSpPr>
      <xdr:sp macro="" textlink="">
        <xdr:nvSpPr>
          <xdr:cNvPr id="10" name="Rectangle 9">
            <a:extLst>
              <a:ext uri="{FF2B5EF4-FFF2-40B4-BE49-F238E27FC236}">
                <a16:creationId xmlns:a16="http://schemas.microsoft.com/office/drawing/2014/main" id="{44F64F93-0426-4EC0-A2D3-B671BEB75A72}"/>
              </a:ext>
            </a:extLst>
          </xdr:cNvPr>
          <xdr:cNvSpPr/>
        </xdr:nvSpPr>
        <xdr:spPr>
          <a:xfrm>
            <a:off x="933449" y="600075"/>
            <a:ext cx="1178244" cy="1022033"/>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13">
            <a:extLst>
              <a:ext uri="{FF2B5EF4-FFF2-40B4-BE49-F238E27FC236}">
                <a16:creationId xmlns:a16="http://schemas.microsoft.com/office/drawing/2014/main" id="{360B1741-8447-4067-8E55-05BF6EDA8AA0}"/>
              </a:ext>
            </a:extLst>
          </xdr:cNvPr>
          <xdr:cNvSpPr/>
        </xdr:nvSpPr>
        <xdr:spPr>
          <a:xfrm>
            <a:off x="2155507" y="600075"/>
            <a:ext cx="1197294" cy="1022033"/>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14">
            <a:extLst>
              <a:ext uri="{FF2B5EF4-FFF2-40B4-BE49-F238E27FC236}">
                <a16:creationId xmlns:a16="http://schemas.microsoft.com/office/drawing/2014/main" id="{A676518A-B393-4C5C-ACB6-98FAF16A6984}"/>
              </a:ext>
            </a:extLst>
          </xdr:cNvPr>
          <xdr:cNvSpPr/>
        </xdr:nvSpPr>
        <xdr:spPr>
          <a:xfrm>
            <a:off x="3388995" y="600075"/>
            <a:ext cx="1185864" cy="1019148"/>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7</xdr:col>
      <xdr:colOff>340043</xdr:colOff>
      <xdr:row>0</xdr:row>
      <xdr:rowOff>38101</xdr:rowOff>
    </xdr:from>
    <xdr:to>
      <xdr:col>9</xdr:col>
      <xdr:colOff>323852</xdr:colOff>
      <xdr:row>8</xdr:row>
      <xdr:rowOff>101919</xdr:rowOff>
    </xdr:to>
    <xdr:sp macro="" textlink="">
      <xdr:nvSpPr>
        <xdr:cNvPr id="16" name="Rectangle 15">
          <a:extLst>
            <a:ext uri="{FF2B5EF4-FFF2-40B4-BE49-F238E27FC236}">
              <a16:creationId xmlns:a16="http://schemas.microsoft.com/office/drawing/2014/main" id="{FE538B64-46CA-40E9-A460-63382B2F492F}"/>
            </a:ext>
          </a:extLst>
        </xdr:cNvPr>
        <xdr:cNvSpPr/>
      </xdr:nvSpPr>
      <xdr:spPr>
        <a:xfrm>
          <a:off x="4607243" y="38101"/>
          <a:ext cx="1203009" cy="1439228"/>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364808</xdr:colOff>
      <xdr:row>0</xdr:row>
      <xdr:rowOff>38101</xdr:rowOff>
    </xdr:from>
    <xdr:to>
      <xdr:col>11</xdr:col>
      <xdr:colOff>361952</xdr:colOff>
      <xdr:row>8</xdr:row>
      <xdr:rowOff>98109</xdr:rowOff>
    </xdr:to>
    <xdr:sp macro="" textlink="">
      <xdr:nvSpPr>
        <xdr:cNvPr id="17" name="Rectangle 16">
          <a:extLst>
            <a:ext uri="{FF2B5EF4-FFF2-40B4-BE49-F238E27FC236}">
              <a16:creationId xmlns:a16="http://schemas.microsoft.com/office/drawing/2014/main" id="{D1C94CD0-9232-49C0-87DE-A4F13702CD85}"/>
            </a:ext>
          </a:extLst>
        </xdr:cNvPr>
        <xdr:cNvSpPr/>
      </xdr:nvSpPr>
      <xdr:spPr>
        <a:xfrm>
          <a:off x="5870258" y="38101"/>
          <a:ext cx="1216344" cy="1431608"/>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343853</xdr:colOff>
      <xdr:row>8</xdr:row>
      <xdr:rowOff>132399</xdr:rowOff>
    </xdr:from>
    <xdr:to>
      <xdr:col>11</xdr:col>
      <xdr:colOff>356235</xdr:colOff>
      <xdr:row>20</xdr:row>
      <xdr:rowOff>0</xdr:rowOff>
    </xdr:to>
    <xdr:sp macro="" textlink="">
      <xdr:nvSpPr>
        <xdr:cNvPr id="18" name="Rectangle 17">
          <a:extLst>
            <a:ext uri="{FF2B5EF4-FFF2-40B4-BE49-F238E27FC236}">
              <a16:creationId xmlns:a16="http://schemas.microsoft.com/office/drawing/2014/main" id="{AB75EFB2-DE63-4C7A-9553-DDC696E38A1F}"/>
            </a:ext>
          </a:extLst>
        </xdr:cNvPr>
        <xdr:cNvSpPr/>
      </xdr:nvSpPr>
      <xdr:spPr>
        <a:xfrm>
          <a:off x="4630103" y="1503999"/>
          <a:ext cx="2450782" cy="192500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327659</xdr:colOff>
      <xdr:row>9</xdr:row>
      <xdr:rowOff>107633</xdr:rowOff>
    </xdr:from>
    <xdr:to>
      <xdr:col>7</xdr:col>
      <xdr:colOff>282893</xdr:colOff>
      <xdr:row>12</xdr:row>
      <xdr:rowOff>114301</xdr:rowOff>
    </xdr:to>
    <xdr:sp macro="" textlink="">
      <xdr:nvSpPr>
        <xdr:cNvPr id="21" name="Rectangle 20">
          <a:extLst>
            <a:ext uri="{FF2B5EF4-FFF2-40B4-BE49-F238E27FC236}">
              <a16:creationId xmlns:a16="http://schemas.microsoft.com/office/drawing/2014/main" id="{473368FB-6FCA-43B2-98C7-008FA1C73556}"/>
            </a:ext>
          </a:extLst>
        </xdr:cNvPr>
        <xdr:cNvSpPr/>
      </xdr:nvSpPr>
      <xdr:spPr>
        <a:xfrm>
          <a:off x="937259" y="1656398"/>
          <a:ext cx="3620454" cy="515303"/>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327659</xdr:colOff>
      <xdr:row>12</xdr:row>
      <xdr:rowOff>163832</xdr:rowOff>
    </xdr:from>
    <xdr:to>
      <xdr:col>7</xdr:col>
      <xdr:colOff>282893</xdr:colOff>
      <xdr:row>19</xdr:row>
      <xdr:rowOff>167641</xdr:rowOff>
    </xdr:to>
    <xdr:sp macro="" textlink="">
      <xdr:nvSpPr>
        <xdr:cNvPr id="22" name="Rectangle 21">
          <a:extLst>
            <a:ext uri="{FF2B5EF4-FFF2-40B4-BE49-F238E27FC236}">
              <a16:creationId xmlns:a16="http://schemas.microsoft.com/office/drawing/2014/main" id="{E54A585A-4E72-4EB8-8DCF-91B745361D16}"/>
            </a:ext>
          </a:extLst>
        </xdr:cNvPr>
        <xdr:cNvSpPr/>
      </xdr:nvSpPr>
      <xdr:spPr>
        <a:xfrm>
          <a:off x="937259" y="2217422"/>
          <a:ext cx="3612834" cy="1202054"/>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100965</xdr:colOff>
      <xdr:row>0</xdr:row>
      <xdr:rowOff>78105</xdr:rowOff>
    </xdr:from>
    <xdr:to>
      <xdr:col>5</xdr:col>
      <xdr:colOff>452438</xdr:colOff>
      <xdr:row>1</xdr:row>
      <xdr:rowOff>155257</xdr:rowOff>
    </xdr:to>
    <xdr:sp macro="" textlink="">
      <xdr:nvSpPr>
        <xdr:cNvPr id="24" name="TextBox 23">
          <a:extLst>
            <a:ext uri="{FF2B5EF4-FFF2-40B4-BE49-F238E27FC236}">
              <a16:creationId xmlns:a16="http://schemas.microsoft.com/office/drawing/2014/main" id="{9161B62E-232C-4162-BFBD-FE395E6C17C6}"/>
            </a:ext>
          </a:extLst>
        </xdr:cNvPr>
        <xdr:cNvSpPr txBox="1"/>
      </xdr:nvSpPr>
      <xdr:spPr>
        <a:xfrm>
          <a:off x="710565" y="78105"/>
          <a:ext cx="2808923" cy="24860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solidFill>
              <a:latin typeface="Arial" panose="020B0604020202020204" pitchFamily="34" charset="0"/>
              <a:cs typeface="Arial" panose="020B0604020202020204" pitchFamily="34" charset="0"/>
            </a:rPr>
            <a:t>Hospital Emergency Room Dashboard</a:t>
          </a:r>
        </a:p>
      </xdr:txBody>
    </xdr:sp>
    <xdr:clientData/>
  </xdr:twoCellAnchor>
  <xdr:twoCellAnchor>
    <xdr:from>
      <xdr:col>2</xdr:col>
      <xdr:colOff>35243</xdr:colOff>
      <xdr:row>1</xdr:row>
      <xdr:rowOff>140969</xdr:rowOff>
    </xdr:from>
    <xdr:to>
      <xdr:col>5</xdr:col>
      <xdr:colOff>26670</xdr:colOff>
      <xdr:row>3</xdr:row>
      <xdr:rowOff>952</xdr:rowOff>
    </xdr:to>
    <xdr:sp macro="" textlink="">
      <xdr:nvSpPr>
        <xdr:cNvPr id="25" name="TextBox 24">
          <a:extLst>
            <a:ext uri="{FF2B5EF4-FFF2-40B4-BE49-F238E27FC236}">
              <a16:creationId xmlns:a16="http://schemas.microsoft.com/office/drawing/2014/main" id="{94D4242C-6151-4858-819B-E51A803DCA86}"/>
            </a:ext>
          </a:extLst>
        </xdr:cNvPr>
        <xdr:cNvSpPr txBox="1"/>
      </xdr:nvSpPr>
      <xdr:spPr>
        <a:xfrm>
          <a:off x="1254443" y="312419"/>
          <a:ext cx="1839277" cy="20288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tx2"/>
              </a:solidFill>
              <a:latin typeface="Arial" panose="020B0604020202020204" pitchFamily="34" charset="0"/>
              <a:cs typeface="Arial" panose="020B0604020202020204" pitchFamily="34" charset="0"/>
            </a:rPr>
            <a:t>Monthly Report</a:t>
          </a:r>
        </a:p>
      </xdr:txBody>
    </xdr:sp>
    <xdr:clientData/>
  </xdr:twoCellAnchor>
  <xdr:twoCellAnchor editAs="oneCell">
    <xdr:from>
      <xdr:col>0</xdr:col>
      <xdr:colOff>206691</xdr:colOff>
      <xdr:row>0</xdr:row>
      <xdr:rowOff>79058</xdr:rowOff>
    </xdr:from>
    <xdr:to>
      <xdr:col>1</xdr:col>
      <xdr:colOff>2857</xdr:colOff>
      <xdr:row>2</xdr:row>
      <xdr:rowOff>137526</xdr:rowOff>
    </xdr:to>
    <xdr:pic>
      <xdr:nvPicPr>
        <xdr:cNvPr id="27" name="Picture 26">
          <a:extLst>
            <a:ext uri="{FF2B5EF4-FFF2-40B4-BE49-F238E27FC236}">
              <a16:creationId xmlns:a16="http://schemas.microsoft.com/office/drawing/2014/main" id="{5612F697-EDF0-4596-A0A4-077A590576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6691" y="79058"/>
          <a:ext cx="405766" cy="401368"/>
        </a:xfrm>
        <a:prstGeom prst="rect">
          <a:avLst/>
        </a:prstGeom>
      </xdr:spPr>
    </xdr:pic>
    <xdr:clientData/>
  </xdr:twoCellAnchor>
  <xdr:twoCellAnchor>
    <xdr:from>
      <xdr:col>1</xdr:col>
      <xdr:colOff>368618</xdr:colOff>
      <xdr:row>4</xdr:row>
      <xdr:rowOff>39053</xdr:rowOff>
    </xdr:from>
    <xdr:to>
      <xdr:col>3</xdr:col>
      <xdr:colOff>178118</xdr:colOff>
      <xdr:row>5</xdr:row>
      <xdr:rowOff>133350</xdr:rowOff>
    </xdr:to>
    <xdr:sp macro="" textlink="'Pivot Report'!A2">
      <xdr:nvSpPr>
        <xdr:cNvPr id="29" name="TextBox 28">
          <a:extLst>
            <a:ext uri="{FF2B5EF4-FFF2-40B4-BE49-F238E27FC236}">
              <a16:creationId xmlns:a16="http://schemas.microsoft.com/office/drawing/2014/main" id="{DD9AD609-9CA4-4A9B-82C1-7C6D249EE754}"/>
            </a:ext>
          </a:extLst>
        </xdr:cNvPr>
        <xdr:cNvSpPr txBox="1"/>
      </xdr:nvSpPr>
      <xdr:spPr>
        <a:xfrm>
          <a:off x="978218" y="724853"/>
          <a:ext cx="1028700" cy="26574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53694B-9086-4E14-928E-627AFE917B9C}" type="TxLink">
            <a:rPr lang="en-US" sz="1100" b="0" i="0" u="none" strike="noStrike">
              <a:solidFill>
                <a:schemeClr val="tx2"/>
              </a:solidFill>
              <a:latin typeface="Arial" panose="020B0604020202020204" pitchFamily="34" charset="0"/>
              <a:ea typeface="Calibri"/>
              <a:cs typeface="Arial" panose="020B0604020202020204" pitchFamily="34" charset="0"/>
            </a:rPr>
            <a:pPr algn="ctr"/>
            <a:t>466</a:t>
          </a:fld>
          <a:endParaRPr lang="en-US" sz="1100" b="0">
            <a:solidFill>
              <a:schemeClr val="tx2"/>
            </a:solidFill>
            <a:latin typeface="Arial" panose="020B0604020202020204" pitchFamily="34" charset="0"/>
            <a:cs typeface="Arial" panose="020B0604020202020204" pitchFamily="34" charset="0"/>
          </a:endParaRPr>
        </a:p>
      </xdr:txBody>
    </xdr:sp>
    <xdr:clientData/>
  </xdr:twoCellAnchor>
  <xdr:twoCellAnchor>
    <xdr:from>
      <xdr:col>1</xdr:col>
      <xdr:colOff>339090</xdr:colOff>
      <xdr:row>5</xdr:row>
      <xdr:rowOff>59056</xdr:rowOff>
    </xdr:from>
    <xdr:to>
      <xdr:col>3</xdr:col>
      <xdr:colOff>227648</xdr:colOff>
      <xdr:row>6</xdr:row>
      <xdr:rowOff>149543</xdr:rowOff>
    </xdr:to>
    <xdr:sp macro="" textlink="">
      <xdr:nvSpPr>
        <xdr:cNvPr id="33" name="TextBox 32">
          <a:extLst>
            <a:ext uri="{FF2B5EF4-FFF2-40B4-BE49-F238E27FC236}">
              <a16:creationId xmlns:a16="http://schemas.microsoft.com/office/drawing/2014/main" id="{BE3E6E3C-2A32-4B53-9DD8-467E60FAB3D1}"/>
            </a:ext>
          </a:extLst>
        </xdr:cNvPr>
        <xdr:cNvSpPr txBox="1"/>
      </xdr:nvSpPr>
      <xdr:spPr>
        <a:xfrm>
          <a:off x="948690" y="916306"/>
          <a:ext cx="1107758" cy="26193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solidFill>
                <a:schemeClr val="tx2"/>
              </a:solidFill>
              <a:latin typeface="Arial" panose="020B0604020202020204" pitchFamily="34" charset="0"/>
              <a:cs typeface="Arial" panose="020B0604020202020204" pitchFamily="34" charset="0"/>
            </a:rPr>
            <a:t>Number of Patient</a:t>
          </a:r>
        </a:p>
      </xdr:txBody>
    </xdr:sp>
    <xdr:clientData/>
  </xdr:twoCellAnchor>
  <xdr:twoCellAnchor>
    <xdr:from>
      <xdr:col>3</xdr:col>
      <xdr:colOff>398146</xdr:colOff>
      <xdr:row>4</xdr:row>
      <xdr:rowOff>48578</xdr:rowOff>
    </xdr:from>
    <xdr:to>
      <xdr:col>5</xdr:col>
      <xdr:colOff>188596</xdr:colOff>
      <xdr:row>5</xdr:row>
      <xdr:rowOff>139065</xdr:rowOff>
    </xdr:to>
    <xdr:sp macro="" textlink="'Pivot Report'!A9">
      <xdr:nvSpPr>
        <xdr:cNvPr id="34" name="TextBox 33">
          <a:extLst>
            <a:ext uri="{FF2B5EF4-FFF2-40B4-BE49-F238E27FC236}">
              <a16:creationId xmlns:a16="http://schemas.microsoft.com/office/drawing/2014/main" id="{EF1D05C6-B764-4505-B99F-3F25B1F2E82E}"/>
            </a:ext>
          </a:extLst>
        </xdr:cNvPr>
        <xdr:cNvSpPr txBox="1"/>
      </xdr:nvSpPr>
      <xdr:spPr>
        <a:xfrm>
          <a:off x="2226946" y="734378"/>
          <a:ext cx="1028700" cy="26193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89FE19-FFD7-4C3F-A419-70C92FE386D2}" type="TxLink">
            <a:rPr lang="en-US" sz="1100" b="0" i="0" u="none" strike="noStrike">
              <a:solidFill>
                <a:schemeClr val="tx2"/>
              </a:solidFill>
              <a:latin typeface="Arial" panose="020B0604020202020204" pitchFamily="34" charset="0"/>
              <a:ea typeface="Calibri"/>
              <a:cs typeface="Arial" panose="020B0604020202020204" pitchFamily="34" charset="0"/>
            </a:rPr>
            <a:pPr algn="ctr"/>
            <a:t>35.06</a:t>
          </a:fld>
          <a:endParaRPr lang="en-US" sz="1100" b="0">
            <a:solidFill>
              <a:schemeClr val="tx2"/>
            </a:solidFill>
            <a:latin typeface="Arial" panose="020B0604020202020204" pitchFamily="34" charset="0"/>
            <a:cs typeface="Arial" panose="020B0604020202020204" pitchFamily="34" charset="0"/>
          </a:endParaRPr>
        </a:p>
      </xdr:txBody>
    </xdr:sp>
    <xdr:clientData/>
  </xdr:twoCellAnchor>
  <xdr:twoCellAnchor>
    <xdr:from>
      <xdr:col>3</xdr:col>
      <xdr:colOff>372428</xdr:colOff>
      <xdr:row>5</xdr:row>
      <xdr:rowOff>64771</xdr:rowOff>
    </xdr:from>
    <xdr:to>
      <xdr:col>5</xdr:col>
      <xdr:colOff>241936</xdr:colOff>
      <xdr:row>6</xdr:row>
      <xdr:rowOff>159068</xdr:rowOff>
    </xdr:to>
    <xdr:sp macro="" textlink="">
      <xdr:nvSpPr>
        <xdr:cNvPr id="35" name="TextBox 34">
          <a:extLst>
            <a:ext uri="{FF2B5EF4-FFF2-40B4-BE49-F238E27FC236}">
              <a16:creationId xmlns:a16="http://schemas.microsoft.com/office/drawing/2014/main" id="{CD36B762-C6EE-4539-AA84-60C2C62A913D}"/>
            </a:ext>
          </a:extLst>
        </xdr:cNvPr>
        <xdr:cNvSpPr txBox="1"/>
      </xdr:nvSpPr>
      <xdr:spPr>
        <a:xfrm>
          <a:off x="2201228" y="922021"/>
          <a:ext cx="1107758" cy="26574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solidFill>
                <a:schemeClr val="tx2"/>
              </a:solidFill>
              <a:latin typeface="Arial" panose="020B0604020202020204" pitchFamily="34" charset="0"/>
              <a:cs typeface="Arial" panose="020B0604020202020204" pitchFamily="34" charset="0"/>
            </a:rPr>
            <a:t>Average Wait Time</a:t>
          </a:r>
        </a:p>
      </xdr:txBody>
    </xdr:sp>
    <xdr:clientData/>
  </xdr:twoCellAnchor>
  <xdr:twoCellAnchor>
    <xdr:from>
      <xdr:col>5</xdr:col>
      <xdr:colOff>398146</xdr:colOff>
      <xdr:row>4</xdr:row>
      <xdr:rowOff>41911</xdr:rowOff>
    </xdr:from>
    <xdr:to>
      <xdr:col>7</xdr:col>
      <xdr:colOff>200026</xdr:colOff>
      <xdr:row>5</xdr:row>
      <xdr:rowOff>120968</xdr:rowOff>
    </xdr:to>
    <xdr:sp macro="" textlink="'Pivot Report'!A14">
      <xdr:nvSpPr>
        <xdr:cNvPr id="36" name="TextBox 35">
          <a:extLst>
            <a:ext uri="{FF2B5EF4-FFF2-40B4-BE49-F238E27FC236}">
              <a16:creationId xmlns:a16="http://schemas.microsoft.com/office/drawing/2014/main" id="{921E1EA2-44D4-4E76-AB68-C7FD020BD139}"/>
            </a:ext>
          </a:extLst>
        </xdr:cNvPr>
        <xdr:cNvSpPr txBox="1"/>
      </xdr:nvSpPr>
      <xdr:spPr>
        <a:xfrm>
          <a:off x="3465196" y="727711"/>
          <a:ext cx="1021080" cy="25050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6DCFE1-2963-4E12-AB5A-9AB6D6A04A2A}" type="TxLink">
            <a:rPr lang="en-US" sz="1100" b="0" i="0" u="none" strike="noStrike">
              <a:solidFill>
                <a:schemeClr val="tx2"/>
              </a:solidFill>
              <a:latin typeface="Arial" panose="020B0604020202020204" pitchFamily="34" charset="0"/>
              <a:ea typeface="Calibri"/>
              <a:cs typeface="Arial" panose="020B0604020202020204" pitchFamily="34" charset="0"/>
            </a:rPr>
            <a:pPr algn="ctr"/>
            <a:t>4.91</a:t>
          </a:fld>
          <a:endParaRPr lang="en-US" sz="1100" b="0">
            <a:solidFill>
              <a:schemeClr val="tx2"/>
            </a:solidFill>
            <a:latin typeface="Arial" panose="020B0604020202020204" pitchFamily="34" charset="0"/>
            <a:cs typeface="Arial" panose="020B0604020202020204" pitchFamily="34" charset="0"/>
          </a:endParaRPr>
        </a:p>
      </xdr:txBody>
    </xdr:sp>
    <xdr:clientData/>
  </xdr:twoCellAnchor>
  <xdr:twoCellAnchor>
    <xdr:from>
      <xdr:col>5</xdr:col>
      <xdr:colOff>364808</xdr:colOff>
      <xdr:row>5</xdr:row>
      <xdr:rowOff>59057</xdr:rowOff>
    </xdr:from>
    <xdr:to>
      <xdr:col>7</xdr:col>
      <xdr:colOff>243841</xdr:colOff>
      <xdr:row>7</xdr:row>
      <xdr:rowOff>61913</xdr:rowOff>
    </xdr:to>
    <xdr:sp macro="" textlink="">
      <xdr:nvSpPr>
        <xdr:cNvPr id="37" name="TextBox 36">
          <a:extLst>
            <a:ext uri="{FF2B5EF4-FFF2-40B4-BE49-F238E27FC236}">
              <a16:creationId xmlns:a16="http://schemas.microsoft.com/office/drawing/2014/main" id="{46B129AC-B00E-4D1F-82CD-8FB26F001099}"/>
            </a:ext>
          </a:extLst>
        </xdr:cNvPr>
        <xdr:cNvSpPr txBox="1"/>
      </xdr:nvSpPr>
      <xdr:spPr>
        <a:xfrm>
          <a:off x="3431858" y="916307"/>
          <a:ext cx="1098233" cy="3457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solidFill>
                <a:schemeClr val="tx2"/>
              </a:solidFill>
              <a:latin typeface="Arial" panose="020B0604020202020204" pitchFamily="34" charset="0"/>
              <a:cs typeface="Arial" panose="020B0604020202020204" pitchFamily="34" charset="0"/>
            </a:rPr>
            <a:t>Patient Satisfaction</a:t>
          </a:r>
          <a:r>
            <a:rPr lang="en-US" sz="800" baseline="0">
              <a:solidFill>
                <a:schemeClr val="tx2"/>
              </a:solidFill>
              <a:latin typeface="Arial" panose="020B0604020202020204" pitchFamily="34" charset="0"/>
              <a:cs typeface="Arial" panose="020B0604020202020204" pitchFamily="34" charset="0"/>
            </a:rPr>
            <a:t> Score</a:t>
          </a:r>
          <a:endParaRPr lang="en-US" sz="800">
            <a:solidFill>
              <a:schemeClr val="tx2"/>
            </a:solidFill>
            <a:latin typeface="Arial" panose="020B0604020202020204" pitchFamily="34" charset="0"/>
            <a:cs typeface="Arial" panose="020B0604020202020204" pitchFamily="34" charset="0"/>
          </a:endParaRPr>
        </a:p>
      </xdr:txBody>
    </xdr:sp>
    <xdr:clientData/>
  </xdr:twoCellAnchor>
  <xdr:twoCellAnchor editAs="oneCell">
    <xdr:from>
      <xdr:col>0</xdr:col>
      <xdr:colOff>56198</xdr:colOff>
      <xdr:row>3</xdr:row>
      <xdr:rowOff>86677</xdr:rowOff>
    </xdr:from>
    <xdr:to>
      <xdr:col>1</xdr:col>
      <xdr:colOff>272416</xdr:colOff>
      <xdr:row>19</xdr:row>
      <xdr:rowOff>130492</xdr:rowOff>
    </xdr:to>
    <mc:AlternateContent xmlns:mc="http://schemas.openxmlformats.org/markup-compatibility/2006" xmlns:a14="http://schemas.microsoft.com/office/drawing/2010/main">
      <mc:Choice Requires="a14">
        <xdr:graphicFrame macro="">
          <xdr:nvGraphicFramePr>
            <xdr:cNvPr id="45" name="Date (Month) 1">
              <a:extLst>
                <a:ext uri="{FF2B5EF4-FFF2-40B4-BE49-F238E27FC236}">
                  <a16:creationId xmlns:a16="http://schemas.microsoft.com/office/drawing/2014/main" id="{35178FC7-3E97-46ED-A484-1BCD89194AFA}"/>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0008" y="602932"/>
              <a:ext cx="823913" cy="2788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315277</xdr:colOff>
      <xdr:row>6</xdr:row>
      <xdr:rowOff>124777</xdr:rowOff>
    </xdr:from>
    <xdr:to>
      <xdr:col>3</xdr:col>
      <xdr:colOff>280988</xdr:colOff>
      <xdr:row>9</xdr:row>
      <xdr:rowOff>80962</xdr:rowOff>
    </xdr:to>
    <xdr:graphicFrame macro="">
      <xdr:nvGraphicFramePr>
        <xdr:cNvPr id="46" name="Chart 45">
          <a:hlinkClick xmlns:r="http://schemas.openxmlformats.org/officeDocument/2006/relationships" r:id="rId2"/>
          <a:extLst>
            <a:ext uri="{FF2B5EF4-FFF2-40B4-BE49-F238E27FC236}">
              <a16:creationId xmlns:a16="http://schemas.microsoft.com/office/drawing/2014/main" id="{385E26BF-8DCF-466A-88F3-9D5080370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322899</xdr:colOff>
      <xdr:row>7</xdr:row>
      <xdr:rowOff>76199</xdr:rowOff>
    </xdr:from>
    <xdr:to>
      <xdr:col>5</xdr:col>
      <xdr:colOff>290513</xdr:colOff>
      <xdr:row>9</xdr:row>
      <xdr:rowOff>82867</xdr:rowOff>
    </xdr:to>
    <xdr:graphicFrame macro="">
      <xdr:nvGraphicFramePr>
        <xdr:cNvPr id="47" name="Chart 46">
          <a:hlinkClick xmlns:r="http://schemas.openxmlformats.org/officeDocument/2006/relationships" r:id="rId4"/>
          <a:extLst>
            <a:ext uri="{FF2B5EF4-FFF2-40B4-BE49-F238E27FC236}">
              <a16:creationId xmlns:a16="http://schemas.microsoft.com/office/drawing/2014/main" id="{E916AAF3-8817-45CF-93CA-9C5EF7789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320993</xdr:colOff>
      <xdr:row>6</xdr:row>
      <xdr:rowOff>94295</xdr:rowOff>
    </xdr:from>
    <xdr:to>
      <xdr:col>7</xdr:col>
      <xdr:colOff>295275</xdr:colOff>
      <xdr:row>9</xdr:row>
      <xdr:rowOff>79056</xdr:rowOff>
    </xdr:to>
    <xdr:graphicFrame macro="">
      <xdr:nvGraphicFramePr>
        <xdr:cNvPr id="48" name="Chart 47">
          <a:hlinkClick xmlns:r="http://schemas.openxmlformats.org/officeDocument/2006/relationships" r:id="rId6"/>
          <a:extLst>
            <a:ext uri="{FF2B5EF4-FFF2-40B4-BE49-F238E27FC236}">
              <a16:creationId xmlns:a16="http://schemas.microsoft.com/office/drawing/2014/main" id="{A8C9B1D8-B709-4569-86F8-2E8905803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31433</xdr:colOff>
      <xdr:row>3</xdr:row>
      <xdr:rowOff>88582</xdr:rowOff>
    </xdr:from>
    <xdr:to>
      <xdr:col>3</xdr:col>
      <xdr:colOff>250364</xdr:colOff>
      <xdr:row>4</xdr:row>
      <xdr:rowOff>134683</xdr:rowOff>
    </xdr:to>
    <xdr:pic>
      <xdr:nvPicPr>
        <xdr:cNvPr id="50" name="Graphic 49" descr="Users with solid fill">
          <a:extLst>
            <a:ext uri="{FF2B5EF4-FFF2-40B4-BE49-F238E27FC236}">
              <a16:creationId xmlns:a16="http://schemas.microsoft.com/office/drawing/2014/main" id="{22D3B7E6-2051-4550-AF10-970A12795DE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860233" y="602932"/>
          <a:ext cx="218931" cy="217551"/>
        </a:xfrm>
        <a:prstGeom prst="rect">
          <a:avLst/>
        </a:prstGeom>
      </xdr:spPr>
    </xdr:pic>
    <xdr:clientData/>
  </xdr:twoCellAnchor>
  <xdr:twoCellAnchor editAs="oneCell">
    <xdr:from>
      <xdr:col>5</xdr:col>
      <xdr:colOff>71438</xdr:colOff>
      <xdr:row>3</xdr:row>
      <xdr:rowOff>92392</xdr:rowOff>
    </xdr:from>
    <xdr:to>
      <xdr:col>5</xdr:col>
      <xdr:colOff>288072</xdr:colOff>
      <xdr:row>4</xdr:row>
      <xdr:rowOff>144208</xdr:rowOff>
    </xdr:to>
    <xdr:pic>
      <xdr:nvPicPr>
        <xdr:cNvPr id="52" name="Graphic 51" descr="Stopwatch with solid fill">
          <a:extLst>
            <a:ext uri="{FF2B5EF4-FFF2-40B4-BE49-F238E27FC236}">
              <a16:creationId xmlns:a16="http://schemas.microsoft.com/office/drawing/2014/main" id="{5E93F999-32CA-496E-90F7-03B02781D41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138488" y="606742"/>
          <a:ext cx="216634" cy="223266"/>
        </a:xfrm>
        <a:prstGeom prst="rect">
          <a:avLst/>
        </a:prstGeom>
      </xdr:spPr>
    </xdr:pic>
    <xdr:clientData/>
  </xdr:twoCellAnchor>
  <xdr:twoCellAnchor editAs="oneCell">
    <xdr:from>
      <xdr:col>7</xdr:col>
      <xdr:colOff>72391</xdr:colOff>
      <xdr:row>3</xdr:row>
      <xdr:rowOff>89535</xdr:rowOff>
    </xdr:from>
    <xdr:to>
      <xdr:col>7</xdr:col>
      <xdr:colOff>295231</xdr:colOff>
      <xdr:row>4</xdr:row>
      <xdr:rowOff>139446</xdr:rowOff>
    </xdr:to>
    <xdr:pic>
      <xdr:nvPicPr>
        <xdr:cNvPr id="54" name="Graphic 53" descr="Stars with solid fill">
          <a:extLst>
            <a:ext uri="{FF2B5EF4-FFF2-40B4-BE49-F238E27FC236}">
              <a16:creationId xmlns:a16="http://schemas.microsoft.com/office/drawing/2014/main" id="{F6A35073-7E96-4508-9CF8-1325F148427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4358641" y="603885"/>
          <a:ext cx="222840" cy="22136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324742</xdr:colOff>
          <xdr:row>9</xdr:row>
          <xdr:rowOff>104774</xdr:rowOff>
        </xdr:from>
        <xdr:to>
          <xdr:col>7</xdr:col>
          <xdr:colOff>285200</xdr:colOff>
          <xdr:row>12</xdr:row>
          <xdr:rowOff>98107</xdr:rowOff>
        </xdr:to>
        <xdr:pic>
          <xdr:nvPicPr>
            <xdr:cNvPr id="55" name="Picture 54">
              <a:extLst>
                <a:ext uri="{FF2B5EF4-FFF2-40B4-BE49-F238E27FC236}">
                  <a16:creationId xmlns:a16="http://schemas.microsoft.com/office/drawing/2014/main" id="{31AA72B7-FAA7-4F2E-BB98-90AFE816D3AF}"/>
                </a:ext>
              </a:extLst>
            </xdr:cNvPr>
            <xdr:cNvPicPr>
              <a:picLocks noChangeAspect="1" noChangeArrowheads="1"/>
              <a:extLst>
                <a:ext uri="{84589F7E-364E-4C9E-8A38-B11213B215E9}">
                  <a14:cameraTool cellRange="'Pivot Report'!$A$42:$D$44" spid="_x0000_s5133"/>
                </a:ext>
              </a:extLst>
            </xdr:cNvPicPr>
          </xdr:nvPicPr>
          <xdr:blipFill>
            <a:blip xmlns:r="http://schemas.openxmlformats.org/officeDocument/2006/relationships" r:embed="rId14"/>
            <a:srcRect/>
            <a:stretch>
              <a:fillRect/>
            </a:stretch>
          </xdr:blipFill>
          <xdr:spPr bwMode="auto">
            <a:xfrm>
              <a:off x="934342" y="1647824"/>
              <a:ext cx="3637108" cy="50768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327659</xdr:colOff>
      <xdr:row>12</xdr:row>
      <xdr:rowOff>163832</xdr:rowOff>
    </xdr:from>
    <xdr:to>
      <xdr:col>7</xdr:col>
      <xdr:colOff>284798</xdr:colOff>
      <xdr:row>19</xdr:row>
      <xdr:rowOff>80963</xdr:rowOff>
    </xdr:to>
    <xdr:graphicFrame macro="">
      <xdr:nvGraphicFramePr>
        <xdr:cNvPr id="56" name="Chart 55">
          <a:extLst>
            <a:ext uri="{FF2B5EF4-FFF2-40B4-BE49-F238E27FC236}">
              <a16:creationId xmlns:a16="http://schemas.microsoft.com/office/drawing/2014/main" id="{F890E652-6AD8-48FE-978F-B920B3CE1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403859</xdr:colOff>
      <xdr:row>18</xdr:row>
      <xdr:rowOff>153353</xdr:rowOff>
    </xdr:from>
    <xdr:to>
      <xdr:col>5</xdr:col>
      <xdr:colOff>401002</xdr:colOff>
      <xdr:row>19</xdr:row>
      <xdr:rowOff>151448</xdr:rowOff>
    </xdr:to>
    <xdr:sp macro="" textlink="">
      <xdr:nvSpPr>
        <xdr:cNvPr id="57" name="TextBox 56">
          <a:extLst>
            <a:ext uri="{FF2B5EF4-FFF2-40B4-BE49-F238E27FC236}">
              <a16:creationId xmlns:a16="http://schemas.microsoft.com/office/drawing/2014/main" id="{6F71BA2B-53A2-4D55-A443-0631B723C1C2}"/>
            </a:ext>
          </a:extLst>
        </xdr:cNvPr>
        <xdr:cNvSpPr txBox="1"/>
      </xdr:nvSpPr>
      <xdr:spPr>
        <a:xfrm>
          <a:off x="1623059" y="3239453"/>
          <a:ext cx="1844993" cy="16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solidFill>
                <a:schemeClr val="tx2"/>
              </a:solidFill>
              <a:latin typeface="Arial" panose="020B0604020202020204" pitchFamily="34" charset="0"/>
              <a:cs typeface="Arial" panose="020B0604020202020204" pitchFamily="34" charset="0"/>
            </a:rPr>
            <a:t>Number of Patient by Age Group</a:t>
          </a:r>
        </a:p>
      </xdr:txBody>
    </xdr:sp>
    <xdr:clientData/>
  </xdr:twoCellAnchor>
  <xdr:twoCellAnchor>
    <xdr:from>
      <xdr:col>7</xdr:col>
      <xdr:colOff>324804</xdr:colOff>
      <xdr:row>0</xdr:row>
      <xdr:rowOff>38101</xdr:rowOff>
    </xdr:from>
    <xdr:to>
      <xdr:col>9</xdr:col>
      <xdr:colOff>309564</xdr:colOff>
      <xdr:row>8</xdr:row>
      <xdr:rowOff>76200</xdr:rowOff>
    </xdr:to>
    <xdr:graphicFrame macro="">
      <xdr:nvGraphicFramePr>
        <xdr:cNvPr id="58" name="Chart 57">
          <a:extLst>
            <a:ext uri="{FF2B5EF4-FFF2-40B4-BE49-F238E27FC236}">
              <a16:creationId xmlns:a16="http://schemas.microsoft.com/office/drawing/2014/main" id="{81A8CBB4-0DA0-4451-8DFF-DFCAEF6F0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351473</xdr:colOff>
      <xdr:row>0</xdr:row>
      <xdr:rowOff>38101</xdr:rowOff>
    </xdr:from>
    <xdr:to>
      <xdr:col>11</xdr:col>
      <xdr:colOff>347663</xdr:colOff>
      <xdr:row>8</xdr:row>
      <xdr:rowOff>90488</xdr:rowOff>
    </xdr:to>
    <xdr:graphicFrame macro="">
      <xdr:nvGraphicFramePr>
        <xdr:cNvPr id="59" name="Chart 58">
          <a:extLst>
            <a:ext uri="{FF2B5EF4-FFF2-40B4-BE49-F238E27FC236}">
              <a16:creationId xmlns:a16="http://schemas.microsoft.com/office/drawing/2014/main" id="{946DDEC9-A02A-4179-9BF4-DFBBC383A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361950</xdr:colOff>
      <xdr:row>7</xdr:row>
      <xdr:rowOff>95250</xdr:rowOff>
    </xdr:from>
    <xdr:to>
      <xdr:col>9</xdr:col>
      <xdr:colOff>303848</xdr:colOff>
      <xdr:row>8</xdr:row>
      <xdr:rowOff>93345</xdr:rowOff>
    </xdr:to>
    <xdr:sp macro="" textlink="">
      <xdr:nvSpPr>
        <xdr:cNvPr id="60" name="TextBox 59">
          <a:extLst>
            <a:ext uri="{FF2B5EF4-FFF2-40B4-BE49-F238E27FC236}">
              <a16:creationId xmlns:a16="http://schemas.microsoft.com/office/drawing/2014/main" id="{B4BA8601-E99F-41DA-9045-DB4E939626C4}"/>
            </a:ext>
          </a:extLst>
        </xdr:cNvPr>
        <xdr:cNvSpPr txBox="1"/>
      </xdr:nvSpPr>
      <xdr:spPr>
        <a:xfrm>
          <a:off x="4648200" y="1295400"/>
          <a:ext cx="1161098" cy="16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solidFill>
                <a:schemeClr val="tx2"/>
              </a:solidFill>
              <a:latin typeface="Arial" panose="020B0604020202020204" pitchFamily="34" charset="0"/>
              <a:cs typeface="Arial" panose="020B0604020202020204" pitchFamily="34" charset="0"/>
            </a:rPr>
            <a:t>Patient Attend</a:t>
          </a:r>
          <a:r>
            <a:rPr lang="en-US" sz="800" baseline="0">
              <a:solidFill>
                <a:schemeClr val="tx2"/>
              </a:solidFill>
              <a:latin typeface="Arial" panose="020B0604020202020204" pitchFamily="34" charset="0"/>
              <a:cs typeface="Arial" panose="020B0604020202020204" pitchFamily="34" charset="0"/>
            </a:rPr>
            <a:t> Status</a:t>
          </a:r>
          <a:endParaRPr lang="en-US" sz="800">
            <a:solidFill>
              <a:schemeClr val="tx2"/>
            </a:solidFill>
            <a:latin typeface="Arial" panose="020B0604020202020204" pitchFamily="34" charset="0"/>
            <a:cs typeface="Arial" panose="020B0604020202020204" pitchFamily="34" charset="0"/>
          </a:endParaRPr>
        </a:p>
      </xdr:txBody>
    </xdr:sp>
    <xdr:clientData/>
  </xdr:twoCellAnchor>
  <xdr:twoCellAnchor>
    <xdr:from>
      <xdr:col>9</xdr:col>
      <xdr:colOff>253365</xdr:colOff>
      <xdr:row>7</xdr:row>
      <xdr:rowOff>86678</xdr:rowOff>
    </xdr:from>
    <xdr:to>
      <xdr:col>11</xdr:col>
      <xdr:colOff>472440</xdr:colOff>
      <xdr:row>8</xdr:row>
      <xdr:rowOff>90488</xdr:rowOff>
    </xdr:to>
    <xdr:sp macro="" textlink="">
      <xdr:nvSpPr>
        <xdr:cNvPr id="61" name="TextBox 60">
          <a:extLst>
            <a:ext uri="{FF2B5EF4-FFF2-40B4-BE49-F238E27FC236}">
              <a16:creationId xmlns:a16="http://schemas.microsoft.com/office/drawing/2014/main" id="{973967A3-8423-4FF4-9106-DC6BC735A0FE}"/>
            </a:ext>
          </a:extLst>
        </xdr:cNvPr>
        <xdr:cNvSpPr txBox="1"/>
      </xdr:nvSpPr>
      <xdr:spPr>
        <a:xfrm>
          <a:off x="5758815" y="1286828"/>
          <a:ext cx="1438275"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solidFill>
                <a:schemeClr val="tx2"/>
              </a:solidFill>
              <a:latin typeface="Arial" panose="020B0604020202020204" pitchFamily="34" charset="0"/>
              <a:cs typeface="Arial" panose="020B0604020202020204" pitchFamily="34" charset="0"/>
            </a:rPr>
            <a:t>Gender</a:t>
          </a:r>
          <a:r>
            <a:rPr lang="en-US" sz="800" baseline="0">
              <a:solidFill>
                <a:schemeClr val="tx2"/>
              </a:solidFill>
              <a:latin typeface="Arial" panose="020B0604020202020204" pitchFamily="34" charset="0"/>
              <a:cs typeface="Arial" panose="020B0604020202020204" pitchFamily="34" charset="0"/>
            </a:rPr>
            <a:t> Wise Analysis</a:t>
          </a:r>
          <a:endParaRPr lang="en-US" sz="800">
            <a:solidFill>
              <a:schemeClr val="tx2"/>
            </a:solidFill>
            <a:latin typeface="Arial" panose="020B0604020202020204" pitchFamily="34" charset="0"/>
            <a:cs typeface="Arial" panose="020B0604020202020204" pitchFamily="34" charset="0"/>
          </a:endParaRPr>
        </a:p>
      </xdr:txBody>
    </xdr:sp>
    <xdr:clientData/>
  </xdr:twoCellAnchor>
  <xdr:twoCellAnchor>
    <xdr:from>
      <xdr:col>7</xdr:col>
      <xdr:colOff>343853</xdr:colOff>
      <xdr:row>8</xdr:row>
      <xdr:rowOff>132399</xdr:rowOff>
    </xdr:from>
    <xdr:to>
      <xdr:col>11</xdr:col>
      <xdr:colOff>360998</xdr:colOff>
      <xdr:row>19</xdr:row>
      <xdr:rowOff>152400</xdr:rowOff>
    </xdr:to>
    <xdr:graphicFrame macro="">
      <xdr:nvGraphicFramePr>
        <xdr:cNvPr id="62" name="Chart 61">
          <a:extLst>
            <a:ext uri="{FF2B5EF4-FFF2-40B4-BE49-F238E27FC236}">
              <a16:creationId xmlns:a16="http://schemas.microsoft.com/office/drawing/2014/main" id="{7441872C-C10E-42F2-ADF7-72902981A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26669</xdr:colOff>
      <xdr:row>18</xdr:row>
      <xdr:rowOff>150496</xdr:rowOff>
    </xdr:from>
    <xdr:to>
      <xdr:col>11</xdr:col>
      <xdr:colOff>48577</xdr:colOff>
      <xdr:row>19</xdr:row>
      <xdr:rowOff>148591</xdr:rowOff>
    </xdr:to>
    <xdr:sp macro="" textlink="">
      <xdr:nvSpPr>
        <xdr:cNvPr id="63" name="TextBox 62">
          <a:extLst>
            <a:ext uri="{FF2B5EF4-FFF2-40B4-BE49-F238E27FC236}">
              <a16:creationId xmlns:a16="http://schemas.microsoft.com/office/drawing/2014/main" id="{47D4E58C-848A-4BC0-AB21-B6C196D63891}"/>
            </a:ext>
          </a:extLst>
        </xdr:cNvPr>
        <xdr:cNvSpPr txBox="1"/>
      </xdr:nvSpPr>
      <xdr:spPr>
        <a:xfrm>
          <a:off x="4922519" y="3236596"/>
          <a:ext cx="1850708" cy="16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solidFill>
                <a:schemeClr val="tx2"/>
              </a:solidFill>
              <a:latin typeface="Arial" panose="020B0604020202020204" pitchFamily="34" charset="0"/>
              <a:cs typeface="Arial" panose="020B0604020202020204" pitchFamily="34" charset="0"/>
            </a:rPr>
            <a:t>No. of Patient by Department</a:t>
          </a:r>
          <a:r>
            <a:rPr lang="en-US" sz="800" baseline="0">
              <a:solidFill>
                <a:schemeClr val="tx2"/>
              </a:solidFill>
              <a:latin typeface="Arial" panose="020B0604020202020204" pitchFamily="34" charset="0"/>
              <a:cs typeface="Arial" panose="020B0604020202020204" pitchFamily="34" charset="0"/>
            </a:rPr>
            <a:t> Referal</a:t>
          </a:r>
          <a:endParaRPr lang="en-US" sz="800">
            <a:solidFill>
              <a:schemeClr val="tx2"/>
            </a:solidFill>
            <a:latin typeface="Arial" panose="020B0604020202020204" pitchFamily="34" charset="0"/>
            <a:cs typeface="Arial" panose="020B0604020202020204" pitchFamily="34" charset="0"/>
          </a:endParaRPr>
        </a:p>
      </xdr:txBody>
    </xdr:sp>
    <xdr:clientData/>
  </xdr:twoCellAnchor>
  <xdr:twoCellAnchor editAs="oneCell">
    <xdr:from>
      <xdr:col>5</xdr:col>
      <xdr:colOff>527685</xdr:colOff>
      <xdr:row>0</xdr:row>
      <xdr:rowOff>40959</xdr:rowOff>
    </xdr:from>
    <xdr:to>
      <xdr:col>7</xdr:col>
      <xdr:colOff>270510</xdr:colOff>
      <xdr:row>3</xdr:row>
      <xdr:rowOff>954</xdr:rowOff>
    </xdr:to>
    <mc:AlternateContent xmlns:mc="http://schemas.openxmlformats.org/markup-compatibility/2006" xmlns:a14="http://schemas.microsoft.com/office/drawing/2010/main">
      <mc:Choice Requires="a14">
        <xdr:graphicFrame macro="">
          <xdr:nvGraphicFramePr>
            <xdr:cNvPr id="66" name="Date (Year)">
              <a:extLst>
                <a:ext uri="{FF2B5EF4-FFF2-40B4-BE49-F238E27FC236}">
                  <a16:creationId xmlns:a16="http://schemas.microsoft.com/office/drawing/2014/main" id="{9BC6E9F9-2A90-4CCB-AE10-5708AFE478D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592830" y="40959"/>
              <a:ext cx="965835" cy="474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557213</xdr:colOff>
      <xdr:row>1</xdr:row>
      <xdr:rowOff>130493</xdr:rowOff>
    </xdr:from>
    <xdr:to>
      <xdr:col>7</xdr:col>
      <xdr:colOff>245746</xdr:colOff>
      <xdr:row>2</xdr:row>
      <xdr:rowOff>136208</xdr:rowOff>
    </xdr:to>
    <xdr:sp macro="" textlink="">
      <xdr:nvSpPr>
        <xdr:cNvPr id="67" name="TextBox 66">
          <a:extLst>
            <a:ext uri="{FF2B5EF4-FFF2-40B4-BE49-F238E27FC236}">
              <a16:creationId xmlns:a16="http://schemas.microsoft.com/office/drawing/2014/main" id="{452DA488-9FC2-4832-B959-07D497A6D235}"/>
            </a:ext>
          </a:extLst>
        </xdr:cNvPr>
        <xdr:cNvSpPr txBox="1"/>
      </xdr:nvSpPr>
      <xdr:spPr>
        <a:xfrm>
          <a:off x="3624263" y="301943"/>
          <a:ext cx="907733" cy="177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aseline="0">
              <a:solidFill>
                <a:schemeClr val="tx2"/>
              </a:solidFill>
              <a:latin typeface="Arial" panose="020B0604020202020204" pitchFamily="34" charset="0"/>
              <a:cs typeface="Arial" panose="020B0604020202020204" pitchFamily="34" charset="0"/>
            </a:rPr>
            <a:t>YEAR</a:t>
          </a:r>
          <a:endParaRPr lang="en-US" sz="1000">
            <a:solidFill>
              <a:schemeClr val="tx2"/>
            </a:solidFill>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29</xdr:row>
      <xdr:rowOff>175259</xdr:rowOff>
    </xdr:to>
    <xdr:graphicFrame macro="">
      <xdr:nvGraphicFramePr>
        <xdr:cNvPr id="2" name="Chart 1">
          <a:extLst>
            <a:ext uri="{FF2B5EF4-FFF2-40B4-BE49-F238E27FC236}">
              <a16:creationId xmlns:a16="http://schemas.microsoft.com/office/drawing/2014/main" id="{382B5D53-C603-4F95-BA38-A6E919520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0.18828</cdr:x>
      <cdr:y>0.04569</cdr:y>
    </cdr:from>
    <cdr:to>
      <cdr:x>0.90391</cdr:x>
      <cdr:y>0.10896</cdr:y>
    </cdr:to>
    <cdr:sp macro="" textlink="">
      <cdr:nvSpPr>
        <cdr:cNvPr id="4" name="TextBox 3">
          <a:extLst xmlns:a="http://schemas.openxmlformats.org/drawingml/2006/main">
            <a:ext uri="{FF2B5EF4-FFF2-40B4-BE49-F238E27FC236}">
              <a16:creationId xmlns:a16="http://schemas.microsoft.com/office/drawing/2014/main" id="{A8BA2782-C535-44A5-93B2-E2CB34D758D0}"/>
            </a:ext>
          </a:extLst>
        </cdr:cNvPr>
        <cdr:cNvSpPr txBox="1"/>
      </cdr:nvSpPr>
      <cdr:spPr>
        <a:xfrm xmlns:a="http://schemas.openxmlformats.org/drawingml/2006/main">
          <a:off x="2295525" y="247650"/>
          <a:ext cx="8724900"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0.225</cdr:x>
      <cdr:y>0.92091</cdr:y>
    </cdr:from>
    <cdr:to>
      <cdr:x>0.76797</cdr:x>
      <cdr:y>0.9754</cdr:y>
    </cdr:to>
    <cdr:sp macro="" textlink="">
      <cdr:nvSpPr>
        <cdr:cNvPr id="5" name="TextBox 4">
          <a:extLst xmlns:a="http://schemas.openxmlformats.org/drawingml/2006/main">
            <a:ext uri="{FF2B5EF4-FFF2-40B4-BE49-F238E27FC236}">
              <a16:creationId xmlns:a16="http://schemas.microsoft.com/office/drawing/2014/main" id="{4C5E363F-E41F-4F81-856E-2B65F866E6E4}"/>
            </a:ext>
          </a:extLst>
        </cdr:cNvPr>
        <cdr:cNvSpPr txBox="1"/>
      </cdr:nvSpPr>
      <cdr:spPr>
        <a:xfrm xmlns:a="http://schemas.openxmlformats.org/drawingml/2006/main">
          <a:off x="2743200" y="4991100"/>
          <a:ext cx="6619875" cy="2952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solidFill>
                <a:schemeClr val="bg1"/>
              </a:solidFill>
            </a:rPr>
            <a:t>=&gt; Showing a daily trend with an area sparkline to spot patterns like busy</a:t>
          </a:r>
          <a:r>
            <a:rPr lang="en-US" sz="1100" b="1" baseline="0">
              <a:solidFill>
                <a:schemeClr val="bg1"/>
              </a:solidFill>
            </a:rPr>
            <a:t> days or seasonal trends.</a:t>
          </a:r>
          <a:endParaRPr lang="en-US" sz="1100" b="1">
            <a:solidFill>
              <a:schemeClr val="bg1"/>
            </a:solidFill>
          </a:endParaRPr>
        </a:p>
      </cdr:txBody>
    </cdr:sp>
  </cdr:relSizeAnchor>
  <cdr:relSizeAnchor xmlns:cdr="http://schemas.openxmlformats.org/drawingml/2006/chartDrawing">
    <cdr:from>
      <cdr:x>0</cdr:x>
      <cdr:y>0</cdr:y>
    </cdr:from>
    <cdr:to>
      <cdr:x>0.06</cdr:x>
      <cdr:y>0.13497</cdr:y>
    </cdr:to>
    <cdr:pic>
      <cdr:nvPicPr>
        <cdr:cNvPr id="6" name="Picture 5">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910FD9D-6406-4A56-A3BF-AEE4D7E5196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0" y="0"/>
          <a:ext cx="731520" cy="73152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238125</xdr:colOff>
      <xdr:row>30</xdr:row>
      <xdr:rowOff>19050</xdr:rowOff>
    </xdr:to>
    <xdr:graphicFrame macro="">
      <xdr:nvGraphicFramePr>
        <xdr:cNvPr id="2" name="Chart 1">
          <a:extLst>
            <a:ext uri="{FF2B5EF4-FFF2-40B4-BE49-F238E27FC236}">
              <a16:creationId xmlns:a16="http://schemas.microsoft.com/office/drawing/2014/main" id="{C84B4FDA-8E8E-4E8F-AA1D-9A6B8A855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0.14514</cdr:x>
      <cdr:y>0.92167</cdr:y>
    </cdr:from>
    <cdr:to>
      <cdr:x>0.96529</cdr:x>
      <cdr:y>0.98635</cdr:y>
    </cdr:to>
    <cdr:sp macro="" textlink="">
      <cdr:nvSpPr>
        <cdr:cNvPr id="4" name="TextBox 3">
          <a:extLst xmlns:a="http://schemas.openxmlformats.org/drawingml/2006/main">
            <a:ext uri="{FF2B5EF4-FFF2-40B4-BE49-F238E27FC236}">
              <a16:creationId xmlns:a16="http://schemas.microsoft.com/office/drawing/2014/main" id="{8044661B-C5DB-4A6C-A287-7EFADB3FCAA5}"/>
            </a:ext>
          </a:extLst>
        </cdr:cNvPr>
        <cdr:cNvSpPr txBox="1"/>
      </cdr:nvSpPr>
      <cdr:spPr>
        <a:xfrm xmlns:a="http://schemas.openxmlformats.org/drawingml/2006/main">
          <a:off x="1800225" y="4886325"/>
          <a:ext cx="10172700"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0.1797</cdr:x>
      <cdr:y>0.91089</cdr:y>
    </cdr:from>
    <cdr:to>
      <cdr:x>0.97758</cdr:x>
      <cdr:y>0.97377</cdr:y>
    </cdr:to>
    <cdr:sp macro="" textlink="">
      <cdr:nvSpPr>
        <cdr:cNvPr id="5" name="TextBox 4">
          <a:extLst xmlns:a="http://schemas.openxmlformats.org/drawingml/2006/main">
            <a:ext uri="{FF2B5EF4-FFF2-40B4-BE49-F238E27FC236}">
              <a16:creationId xmlns:a16="http://schemas.microsoft.com/office/drawing/2014/main" id="{55968B5C-45AA-4547-BE9E-5ED87AE204D8}"/>
            </a:ext>
          </a:extLst>
        </cdr:cNvPr>
        <cdr:cNvSpPr txBox="1"/>
      </cdr:nvSpPr>
      <cdr:spPr>
        <a:xfrm xmlns:a="http://schemas.openxmlformats.org/drawingml/2006/main">
          <a:off x="2228850" y="4829175"/>
          <a:ext cx="9896475" cy="3333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solidFill>
                <a:schemeClr val="bg1"/>
              </a:solidFill>
            </a:rPr>
            <a:t>=&gt; Use an area sparkline to track daily changes</a:t>
          </a:r>
          <a:r>
            <a:rPr lang="en-US" sz="1100" baseline="0">
              <a:solidFill>
                <a:schemeClr val="bg1"/>
              </a:solidFill>
            </a:rPr>
            <a:t> and highlight days with longer wait times that might need improvements</a:t>
          </a:r>
          <a:endParaRPr lang="en-US" sz="1100">
            <a:solidFill>
              <a:schemeClr val="bg1"/>
            </a:solidFill>
          </a:endParaRPr>
        </a:p>
      </cdr:txBody>
    </cdr:sp>
  </cdr:relSizeAnchor>
  <cdr:relSizeAnchor xmlns:cdr="http://schemas.openxmlformats.org/drawingml/2006/chartDrawing">
    <cdr:from>
      <cdr:x>0</cdr:x>
      <cdr:y>0</cdr:y>
    </cdr:from>
    <cdr:to>
      <cdr:x>0.05884</cdr:x>
      <cdr:y>0.13436</cdr:y>
    </cdr:to>
    <cdr:pic>
      <cdr:nvPicPr>
        <cdr:cNvPr id="6" name="Picture 5">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9078A60-D875-4B1B-B305-60F0FD1214F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0" y="0"/>
          <a:ext cx="731520" cy="73152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20</xdr:col>
      <xdr:colOff>358140</xdr:colOff>
      <xdr:row>31</xdr:row>
      <xdr:rowOff>66676</xdr:rowOff>
    </xdr:to>
    <xdr:graphicFrame macro="">
      <xdr:nvGraphicFramePr>
        <xdr:cNvPr id="2" name="Chart 1">
          <a:extLst>
            <a:ext uri="{FF2B5EF4-FFF2-40B4-BE49-F238E27FC236}">
              <a16:creationId xmlns:a16="http://schemas.microsoft.com/office/drawing/2014/main" id="{35F96463-FBDE-4CF3-AF1F-45AA67F0A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0.05829</cdr:x>
      <cdr:y>0.13445</cdr:y>
    </cdr:to>
    <cdr:pic>
      <cdr:nvPicPr>
        <cdr:cNvPr id="3" name="Picture 2">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9594644-C921-4E7C-98FF-50DAB6167FC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0" y="0"/>
          <a:ext cx="731520" cy="731520"/>
        </a:xfrm>
        <a:prstGeom xmlns:a="http://schemas.openxmlformats.org/drawingml/2006/main" prst="rect">
          <a:avLst/>
        </a:prstGeom>
      </cdr:spPr>
    </cdr:pic>
  </cdr:relSizeAnchor>
  <cdr:relSizeAnchor xmlns:cdr="http://schemas.openxmlformats.org/drawingml/2006/chartDrawing">
    <cdr:from>
      <cdr:x>0.24583</cdr:x>
      <cdr:y>0.93823</cdr:y>
    </cdr:from>
    <cdr:to>
      <cdr:x>0.72458</cdr:x>
      <cdr:y>0.98187</cdr:y>
    </cdr:to>
    <cdr:sp macro="" textlink="">
      <cdr:nvSpPr>
        <cdr:cNvPr id="4" name="TextBox 3">
          <a:extLst xmlns:a="http://schemas.openxmlformats.org/drawingml/2006/main">
            <a:ext uri="{FF2B5EF4-FFF2-40B4-BE49-F238E27FC236}">
              <a16:creationId xmlns:a16="http://schemas.microsoft.com/office/drawing/2014/main" id="{78241A3A-4E98-4F2A-A35A-E6203AFBD516}"/>
            </a:ext>
          </a:extLst>
        </cdr:cNvPr>
        <cdr:cNvSpPr txBox="1"/>
      </cdr:nvSpPr>
      <cdr:spPr>
        <a:xfrm xmlns:a="http://schemas.openxmlformats.org/drawingml/2006/main">
          <a:off x="3086100" y="5324473"/>
          <a:ext cx="6010275" cy="2476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solidFill>
                <a:schemeClr val="bg1"/>
              </a:solidFill>
            </a:rPr>
            <a:t>=&gt;</a:t>
          </a:r>
          <a:r>
            <a:rPr lang="en-US" sz="1100" baseline="0">
              <a:solidFill>
                <a:schemeClr val="bg1"/>
              </a:solidFill>
            </a:rPr>
            <a:t> Use an area sparkline to show trends, spot drops in satisfaction and link them.</a:t>
          </a:r>
          <a:endParaRPr lang="en-US" sz="1100">
            <a:solidFill>
              <a:schemeClr val="bg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548654861108" createdVersion="5" refreshedVersion="7" minRefreshableVersion="3" recordCount="0" supportSubquery="1" supportAdvancedDrill="1" xr:uid="{C3E6069E-B3B2-49D1-8F14-C8B618C9E023}">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548655092593" createdVersion="5" refreshedVersion="7" minRefreshableVersion="3" recordCount="0" supportSubquery="1" supportAdvancedDrill="1" xr:uid="{8A539474-6A21-4B67-82A0-301403E8E0A9}">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548655208331" createdVersion="5" refreshedVersion="7" minRefreshableVersion="3" recordCount="0" supportSubquery="1" supportAdvancedDrill="1" xr:uid="{F4F05217-3E94-4753-B1F1-EBA5AF40DA28}">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548655439816" createdVersion="5" refreshedVersion="7" minRefreshableVersion="3" recordCount="0" supportSubquery="1" supportAdvancedDrill="1" xr:uid="{672303E5-35FE-4C51-ABC2-4670E7B5E770}">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548655902778" createdVersion="5" refreshedVersion="7" minRefreshableVersion="3" recordCount="0" supportSubquery="1" supportAdvancedDrill="1" xr:uid="{E9D6B703-C184-403A-8A36-813A4EBC53A5}">
  <cacheSource type="external" connectionId="3"/>
  <cacheFields count="4">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548656250001" createdVersion="5" refreshedVersion="7" minRefreshableVersion="3" recordCount="0" supportSubquery="1" supportAdvancedDrill="1" xr:uid="{0351E542-866F-4432-8B65-FB9AEDBB41D6}">
  <cacheSource type="external" connectionId="3"/>
  <cacheFields count="4">
    <cacheField name="[Calendar_Table].[Date (Day)].[Date (Day)]" caption="Date (Day)" numFmtId="0" hierarchy="2" level="1">
      <sharedItems count="29">
        <s v="1-Sep"/>
        <s v="2-Sep"/>
        <s v="3-Sep"/>
        <s v="4-Sep"/>
        <s v="5-Sep"/>
        <s v="6-Sep"/>
        <s v="7-Sep"/>
        <s v="8-Sep"/>
        <s v="9-Sep"/>
        <s v="10-Sep"/>
        <s v="11-Sep"/>
        <s v="12-Sep"/>
        <s v="13-Sep"/>
        <s v="14-Sep"/>
        <s v="15-Sep"/>
        <s v="16-Sep"/>
        <s v="17-Sep"/>
        <s v="18-Sep"/>
        <s v="19-Sep"/>
        <s v="20-Sep"/>
        <s v="21-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548656712963" createdVersion="5" refreshedVersion="7" minRefreshableVersion="3" recordCount="0" supportSubquery="1" supportAdvancedDrill="1" xr:uid="{87A4783E-4630-4060-BA4E-B63109E71C34}">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548657060186" createdVersion="5" refreshedVersion="7" minRefreshableVersion="3" recordCount="0" supportSubquery="1" supportAdvancedDrill="1" xr:uid="{6664CE1F-46D5-44B2-B415-60CDD999E00A}">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548657407409" createdVersion="5" refreshedVersion="7" minRefreshableVersion="3" recordCount="0" supportSubquery="1" supportAdvancedDrill="1" xr:uid="{48EDED27-BC51-4ECE-B15A-990320AFAC57}">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548657754633" createdVersion="5" refreshedVersion="7" minRefreshableVersion="3" recordCount="0" supportSubquery="1" supportAdvancedDrill="1" xr:uid="{32B69DBB-21E6-4913-B7C3-A150B289E21F}">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548658217594" createdVersion="5" refreshedVersion="7" minRefreshableVersion="3" recordCount="0" supportSubquery="1" supportAdvancedDrill="1" xr:uid="{03634FC3-319B-4356-9EAA-32E73A13AEA7}">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548658564818" createdVersion="5" refreshedVersion="7" minRefreshableVersion="3" recordCount="0" supportSubquery="1" supportAdvancedDrill="1" xr:uid="{220B1408-1925-4924-B92E-90294146089D}">
  <cacheSource type="external" connectionId="3"/>
  <cacheFields count="4">
    <cacheField name="[Calendar_Table].[Date (Month)].[Date (Month)]" caption="Date (Month)" numFmtId="0" hierarchy="1" level="1">
      <sharedItems count="1">
        <s v="Sep"/>
      </sharedItems>
    </cacheField>
    <cacheField name="[Calendar_Table].[Date].[Date]" caption="Date" numFmtId="0" level="1">
      <sharedItems containsSemiMixedTypes="0" containsNonDate="0" containsDate="1" containsString="0" minDate="2024-09-01T00:00:00" maxDate="2024-10-01T00:00:00" count="3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052840509263" createdVersion="3" refreshedVersion="7" minRefreshableVersion="3" recordCount="0" supportSubquery="1" supportAdvancedDrill="1" xr:uid="{B83B4148-3373-4D41-BD25-E6B6627895AD}">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49961998"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053511689817" createdVersion="3" refreshedVersion="7" minRefreshableVersion="3" recordCount="0" supportSubquery="1" supportAdvancedDrill="1" xr:uid="{5F3EFCB0-44CB-45B0-BBE0-97527CBB9755}">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898992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133363-3310-471C-9F78-A677762F5394}" name="PivotTable11" cacheId="1018" applyNumberFormats="0" applyBorderFormats="0" applyFontFormats="0" applyPatternFormats="0" applyAlignmentFormats="0" applyWidthHeightFormats="1" dataCaption="Values" tag="f5920d62-01c3-4213-b1be-ef41cf96870e" updatedVersion="7" minRefreshableVersion="3" subtotalHiddenItems="1" itemPrintTitles="1" createdVersion="5" indent="0" outline="1" outlineData="1" multipleFieldFilters="0" chartFormat="16">
  <location ref="A80:B8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i>
    <i>
      <x v="3"/>
    </i>
    <i>
      <x v="1"/>
    </i>
    <i>
      <x v="6"/>
    </i>
    <i>
      <x v="5"/>
    </i>
    <i>
      <x v="2"/>
    </i>
    <i>
      <x v="4"/>
    </i>
    <i t="grand">
      <x/>
    </i>
  </rowItems>
  <colItems count="1">
    <i/>
  </colItems>
  <dataFields count="1">
    <dataField name="Count of Department Referral" fld="2" subtotal="count" baseField="0" baseItem="0"/>
  </dataFields>
  <formats count="1">
    <format dxfId="392">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8F6ACA-A414-4F2E-9EF8-27487E2F7208}" name="PivotTable1" cacheId="991" applyNumberFormats="0" applyBorderFormats="0" applyFontFormats="0" applyPatternFormats="0" applyAlignmentFormats="0" applyWidthHeightFormats="1" dataCaption="Values" tag="71b749e8-7832-4d5a-af12-c84e71c87c52" updatedVersion="7" minRefreshableVersion="3" subtotalHiddenItems="1" itemPrintTitles="1" createdVersion="5"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5978D9-B42E-4571-9BF1-644C319DAE84}" name="PivotTable10" cacheId="1015" applyNumberFormats="0" applyBorderFormats="0" applyFontFormats="0" applyPatternFormats="0" applyAlignmentFormats="0" applyWidthHeightFormats="1" dataCaption="Values" tag="f5920d62-01c3-4213-b1be-ef41cf96870e" updatedVersion="7" minRefreshableVersion="3" subtotalHiddenItems="1" itemPrintTitles="1" createdVersion="5" indent="0" outline="1" outlineData="1" multipleFieldFilters="0" chartFormat="13">
  <location ref="A72:B7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393">
      <pivotArea outline="0" collapsedLevelsAreSubtotals="1"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6F517E-9AA0-4DDD-AE3A-462E7E05F685}" name="PivotTable8" cacheId="1009" applyNumberFormats="0" applyBorderFormats="0" applyFontFormats="0" applyPatternFormats="0" applyAlignmentFormats="0" applyWidthHeightFormats="1" dataCaption="Values" tag="f5920d62-01c3-4213-b1be-ef41cf96870e" updatedVersion="7" minRefreshableVersion="3" subtotalHiddenItems="1" itemPrintTitles="1" createdVersion="5" indent="0" outline="1" outlineData="1" multipleFieldFilters="0" chartFormat="7">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395">
      <pivotArea outline="0" collapsedLevelsAreSubtotals="1" fieldPosition="0"/>
    </format>
    <format dxfId="394">
      <pivotArea collapsedLevelsAreSubtotals="1" fieldPosition="0">
        <references count="1">
          <reference field="1" count="0"/>
        </references>
      </pivotArea>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7"/>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8BB392-3ED7-4A9B-AD00-3D8C11D7EF28}" name="PivotTable6" cacheId="1003" applyNumberFormats="0" applyBorderFormats="0" applyFontFormats="0" applyPatternFormats="0" applyAlignmentFormats="0" applyWidthHeightFormats="1" dataCaption="Values" tag="4810e8cb-9182-48d7-83ee-dffbb71ed633" updatedVersion="7" minRefreshableVersion="3" subtotalHiddenItems="1" itemPrintTitles="1" createdVersion="5" indent="0" outline="1" outlineData="1" multipleFieldFilters="0" chartFormat="21">
  <location ref="N4:O34" firstHeaderRow="1" firstDataRow="1" firstDataCol="1"/>
  <pivotFields count="4">
    <pivotField axis="axisRow" allDrilled="1" subtotalTop="0" showAll="0"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3"/>
  </dataFields>
  <formats count="1">
    <format dxfId="396">
      <pivotArea collapsedLevelsAreSubtotals="1" fieldPosition="0">
        <references count="1">
          <reference field="0" count="0"/>
        </references>
      </pivotArea>
    </format>
  </formats>
  <chartFormats count="3">
    <chartFormat chart="12"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DC182D-7E73-4D6C-8C56-0E10172213CD}" name="PivotTable3" cacheId="997" applyNumberFormats="0" applyBorderFormats="0" applyFontFormats="0" applyPatternFormats="0" applyAlignmentFormats="0" applyWidthHeightFormats="1" dataCaption="Values" tag="f5920d62-01c3-4213-b1be-ef41cf96870e" updatedVersion="7"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97">
      <pivotArea outline="0" collapsedLevelsAreSubtotals="1" fieldPosition="0"/>
    </format>
  </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686036-B5C5-4B6D-AB89-5B1BFAD653E1}" name="PivotTable7" cacheId="1006" applyNumberFormats="0" applyBorderFormats="0" applyFontFormats="0" applyPatternFormats="0" applyAlignmentFormats="0" applyWidthHeightFormats="1" dataCaption="Values" tag="f5920d62-01c3-4213-b1be-ef41cf96870e" updatedVersion="7" minRefreshableVersion="3" subtotalHiddenItems="1" itemPrintTitles="1" createdVersion="5" indent="0" outline="1" outlineData="1" multipleFieldFilters="0" chartFormat="3">
  <location ref="A36:C3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400">
      <pivotArea outline="0" collapsedLevelsAreSubtotals="1" fieldPosition="0"/>
    </format>
    <format dxfId="399">
      <pivotArea collapsedLevelsAreSubtotals="1" fieldPosition="0">
        <references count="1">
          <reference field="1" count="0"/>
        </references>
      </pivotArea>
    </format>
    <format dxfId="398">
      <pivotArea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1678C9-9949-4A70-A05D-D255B565CCAE}" name="PivotTable2" cacheId="994" applyNumberFormats="0" applyBorderFormats="0" applyFontFormats="0" applyPatternFormats="0" applyAlignmentFormats="0" applyWidthHeightFormats="1" dataCaption="Values" tag="4acd1de1-d1b4-4553-8dce-924e25325149" updatedVersion="7"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01">
      <pivotArea outline="0" collapsedLevelsAreSubtotals="1" fieldPosition="0"/>
    </format>
  </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84DD66-C495-404A-81D2-6DB31C466C29}" name="PivotTable12" cacheId="1021" applyNumberFormats="0" applyBorderFormats="0" applyFontFormats="0" applyPatternFormats="0" applyAlignmentFormats="0" applyWidthHeightFormats="1" dataCaption="Values" tag="f5920d62-01c3-4213-b1be-ef41cf96870e" updatedVersion="7" minRefreshableVersion="3" subtotalHiddenItems="1" itemPrintTitles="1" createdVersion="5" indent="0" outline="1" outlineData="1" multipleFieldFilters="0" chartFormat="16">
  <location ref="A94:A128"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4">
    <field x="3"/>
    <field x="2"/>
    <field x="0"/>
    <field x="1"/>
  </rowFields>
  <rowItems count="34">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t="grand">
      <x/>
    </i>
  </rowItems>
  <formats count="1">
    <format dxfId="402">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A3E70C-17F0-4D8F-8332-385750C3675F}" name="PivotTable9" cacheId="1012" applyNumberFormats="0" applyBorderFormats="0" applyFontFormats="0" applyPatternFormats="0" applyAlignmentFormats="0" applyWidthHeightFormats="1" dataCaption="Values" tag="f5920d62-01c3-4213-b1be-ef41cf96870e" updatedVersion="7" minRefreshableVersion="3" subtotalHiddenItems="1" itemPrintTitles="1" createdVersion="5" indent="0" outline="1" outlineData="1" multipleFieldFilters="0" chartFormat="10">
  <location ref="A64:B6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numFmtId="1"/>
  </dataFields>
  <formats count="2">
    <format dxfId="404">
      <pivotArea collapsedLevelsAreSubtotals="1" fieldPosition="0">
        <references count="1">
          <reference field="2" count="0"/>
        </references>
      </pivotArea>
    </format>
    <format dxfId="403">
      <pivotArea outline="0" collapsedLevelsAreSubtotals="1" fieldPosition="0"/>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6BCC69-63C0-4AF1-AB2C-6D767DD10D3C}" name="PivotTable5" cacheId="1000" applyNumberFormats="0" applyBorderFormats="0" applyFontFormats="0" applyPatternFormats="0" applyAlignmentFormats="0" applyWidthHeightFormats="1" dataCaption="Values" tag="191eeee9-8df1-4b06-ab36-202132392289" updatedVersion="7" minRefreshableVersion="3" subtotalHiddenItems="1" itemPrintTitles="1" createdVersion="5" indent="0" outline="1" outlineData="1" multipleFieldFilters="0" chartFormat="12">
  <location ref="J4:K35" firstHeaderRow="1" firstDataRow="1" firstDataCol="1"/>
  <pivotFields count="4">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405">
      <pivotArea collapsedLevelsAreSubtotals="1" fieldPosition="0">
        <references count="1">
          <reference field="0" count="0"/>
        </references>
      </pivotArea>
    </format>
  </formats>
  <chartFormats count="3">
    <chartFormat chart="4"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D0155D-92CB-4FA2-BC60-00A24DA7E591}" name="PivotTable4" cacheId="988" applyNumberFormats="0" applyBorderFormats="0" applyFontFormats="0" applyPatternFormats="0" applyAlignmentFormats="0" applyWidthHeightFormats="1" dataCaption="Values" tag="9fc324dd-156c-4169-9d7f-f49c668c9236" updatedVersion="7" minRefreshableVersion="3" subtotalHiddenItems="1" itemPrintTitles="1" createdVersion="5" indent="0" outline="1" outlineData="1" multipleFieldFilters="0" chartFormat="12">
  <location ref="F4:G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764F3D0-9A16-4218-AF52-D25A042EB240}"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849961998">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4233CEA-0515-497A-A9FF-385B03861DDA}"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78989922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9585A322-75CB-474D-869B-66C13F8F7EF7}" cache="Slicer_Date__Month" caption="Date (Month)" showCaption="0" level="1" style="MySlicerStyle" rowHeight="182880"/>
  <slicer name="Date (Year)" xr10:uid="{9865C44C-FD36-4621-8EB5-04139963B003}" cache="Slicer_Date__Year" caption="Date (Year)" columnCount="2" showCaption="0" level="1" style="MySlicerStyle"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canva.com/colors/color-meanings/midnight-blu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AC210-87A1-4D87-902B-C43AC85F743B}">
  <dimension ref="A1:O128"/>
  <sheetViews>
    <sheetView tabSelected="1" topLeftCell="A65" workbookViewId="0">
      <selection activeCell="F72" sqref="F72"/>
    </sheetView>
  </sheetViews>
  <sheetFormatPr defaultRowHeight="14.4" x14ac:dyDescent="0.3"/>
  <cols>
    <col min="1" max="1" width="33.33203125" bestFit="1" customWidth="1"/>
    <col min="2" max="2" width="29" bestFit="1" customWidth="1"/>
    <col min="3" max="3" width="11.88671875" customWidth="1"/>
    <col min="4" max="4" width="31.33203125" customWidth="1"/>
    <col min="6" max="7" width="24.44140625" bestFit="1" customWidth="1"/>
    <col min="10" max="10" width="12.77734375" bestFit="1" customWidth="1"/>
    <col min="11" max="11" width="24.44140625" bestFit="1" customWidth="1"/>
    <col min="15" max="15" width="26.109375" bestFit="1" customWidth="1"/>
  </cols>
  <sheetData>
    <row r="1" spans="1:15" x14ac:dyDescent="0.3">
      <c r="A1" t="s">
        <v>0</v>
      </c>
    </row>
    <row r="2" spans="1:15" x14ac:dyDescent="0.3">
      <c r="A2" s="1">
        <v>466</v>
      </c>
    </row>
    <row r="4" spans="1:15" x14ac:dyDescent="0.3">
      <c r="F4" s="2" t="s">
        <v>4</v>
      </c>
      <c r="G4" t="s">
        <v>0</v>
      </c>
      <c r="J4" s="2" t="s">
        <v>4</v>
      </c>
      <c r="K4" t="s">
        <v>1</v>
      </c>
      <c r="N4" s="2" t="s">
        <v>4</v>
      </c>
      <c r="O4" t="s">
        <v>2</v>
      </c>
    </row>
    <row r="5" spans="1:15" x14ac:dyDescent="0.3">
      <c r="F5" s="4" t="s">
        <v>42</v>
      </c>
      <c r="G5" s="1">
        <v>23</v>
      </c>
      <c r="J5" s="4" t="s">
        <v>42</v>
      </c>
      <c r="K5" s="3">
        <v>39.304347826086953</v>
      </c>
      <c r="N5" s="4" t="s">
        <v>42</v>
      </c>
      <c r="O5" s="3">
        <v>4.2857142857142856</v>
      </c>
    </row>
    <row r="6" spans="1:15" x14ac:dyDescent="0.3">
      <c r="F6" s="4" t="s">
        <v>43</v>
      </c>
      <c r="G6" s="1">
        <v>17</v>
      </c>
      <c r="J6" s="4" t="s">
        <v>43</v>
      </c>
      <c r="K6" s="3">
        <v>36.941176470588232</v>
      </c>
      <c r="N6" s="4" t="s">
        <v>43</v>
      </c>
      <c r="O6" s="3">
        <v>2.6666666666666665</v>
      </c>
    </row>
    <row r="7" spans="1:15" x14ac:dyDescent="0.3">
      <c r="F7" s="4" t="s">
        <v>44</v>
      </c>
      <c r="G7" s="1">
        <v>20</v>
      </c>
      <c r="J7" s="4" t="s">
        <v>44</v>
      </c>
      <c r="K7" s="3">
        <v>35.549999999999997</v>
      </c>
      <c r="N7" s="4" t="s">
        <v>44</v>
      </c>
      <c r="O7" s="3">
        <v>3.8571428571428572</v>
      </c>
    </row>
    <row r="8" spans="1:15" x14ac:dyDescent="0.3">
      <c r="A8" t="s">
        <v>1</v>
      </c>
      <c r="F8" s="4" t="s">
        <v>45</v>
      </c>
      <c r="G8" s="1">
        <v>16</v>
      </c>
      <c r="J8" s="4" t="s">
        <v>45</v>
      </c>
      <c r="K8" s="3">
        <v>32</v>
      </c>
      <c r="N8" s="4" t="s">
        <v>45</v>
      </c>
      <c r="O8" s="3">
        <v>5.6</v>
      </c>
    </row>
    <row r="9" spans="1:15" x14ac:dyDescent="0.3">
      <c r="A9" s="3">
        <v>35.06008583690987</v>
      </c>
      <c r="F9" s="4" t="s">
        <v>46</v>
      </c>
      <c r="G9" s="1">
        <v>11</v>
      </c>
      <c r="J9" s="4" t="s">
        <v>46</v>
      </c>
      <c r="K9" s="3">
        <v>43.81818181818182</v>
      </c>
      <c r="N9" s="4" t="s">
        <v>46</v>
      </c>
      <c r="O9" s="3">
        <v>7</v>
      </c>
    </row>
    <row r="10" spans="1:15" x14ac:dyDescent="0.3">
      <c r="F10" s="4" t="s">
        <v>47</v>
      </c>
      <c r="G10" s="1">
        <v>17</v>
      </c>
      <c r="J10" s="4" t="s">
        <v>47</v>
      </c>
      <c r="K10" s="3">
        <v>37.823529411764703</v>
      </c>
      <c r="N10" s="4" t="s">
        <v>47</v>
      </c>
      <c r="O10" s="3">
        <v>4</v>
      </c>
    </row>
    <row r="11" spans="1:15" x14ac:dyDescent="0.3">
      <c r="F11" s="4" t="s">
        <v>48</v>
      </c>
      <c r="G11" s="1">
        <v>15</v>
      </c>
      <c r="J11" s="4" t="s">
        <v>48</v>
      </c>
      <c r="K11" s="3">
        <v>37.533333333333331</v>
      </c>
      <c r="N11" s="4" t="s">
        <v>48</v>
      </c>
      <c r="O11" s="3">
        <v>3.2</v>
      </c>
    </row>
    <row r="12" spans="1:15" x14ac:dyDescent="0.3">
      <c r="F12" s="4" t="s">
        <v>49</v>
      </c>
      <c r="G12" s="1">
        <v>17</v>
      </c>
      <c r="J12" s="4" t="s">
        <v>49</v>
      </c>
      <c r="K12" s="3">
        <v>31.588235294117649</v>
      </c>
      <c r="N12" s="4" t="s">
        <v>49</v>
      </c>
      <c r="O12" s="3">
        <v>5.5</v>
      </c>
    </row>
    <row r="13" spans="1:15" x14ac:dyDescent="0.3">
      <c r="A13" t="s">
        <v>2</v>
      </c>
      <c r="F13" s="4" t="s">
        <v>50</v>
      </c>
      <c r="G13" s="1">
        <v>17</v>
      </c>
      <c r="J13" s="4" t="s">
        <v>50</v>
      </c>
      <c r="K13" s="3">
        <v>32.647058823529413</v>
      </c>
      <c r="N13" s="4" t="s">
        <v>50</v>
      </c>
      <c r="O13" s="3">
        <v>5</v>
      </c>
    </row>
    <row r="14" spans="1:15" x14ac:dyDescent="0.3">
      <c r="A14" s="3">
        <v>4.9083333333333332</v>
      </c>
      <c r="F14" s="4" t="s">
        <v>51</v>
      </c>
      <c r="G14" s="1">
        <v>13</v>
      </c>
      <c r="J14" s="4" t="s">
        <v>51</v>
      </c>
      <c r="K14" s="3">
        <v>34.846153846153847</v>
      </c>
      <c r="N14" s="4" t="s">
        <v>51</v>
      </c>
      <c r="O14" s="3">
        <v>7</v>
      </c>
    </row>
    <row r="15" spans="1:15" x14ac:dyDescent="0.3">
      <c r="F15" s="4" t="s">
        <v>52</v>
      </c>
      <c r="G15" s="1">
        <v>12</v>
      </c>
      <c r="J15" s="4" t="s">
        <v>52</v>
      </c>
      <c r="K15" s="3">
        <v>36.666666666666664</v>
      </c>
      <c r="N15" s="4" t="s">
        <v>52</v>
      </c>
      <c r="O15" s="3">
        <v>6</v>
      </c>
    </row>
    <row r="16" spans="1:15" x14ac:dyDescent="0.3">
      <c r="F16" s="4" t="s">
        <v>53</v>
      </c>
      <c r="G16" s="1">
        <v>19</v>
      </c>
      <c r="J16" s="4" t="s">
        <v>53</v>
      </c>
      <c r="K16" s="3">
        <v>31.94736842105263</v>
      </c>
      <c r="N16" s="4" t="s">
        <v>53</v>
      </c>
      <c r="O16" s="3">
        <v>6.5</v>
      </c>
    </row>
    <row r="17" spans="1:15" x14ac:dyDescent="0.3">
      <c r="F17" s="4" t="s">
        <v>54</v>
      </c>
      <c r="G17" s="1">
        <v>12</v>
      </c>
      <c r="J17" s="4" t="s">
        <v>54</v>
      </c>
      <c r="K17" s="3">
        <v>37.416666666666664</v>
      </c>
      <c r="N17" s="4" t="s">
        <v>54</v>
      </c>
      <c r="O17" s="3">
        <v>3.5</v>
      </c>
    </row>
    <row r="18" spans="1:15" x14ac:dyDescent="0.3">
      <c r="A18" s="8"/>
      <c r="F18" s="4" t="s">
        <v>55</v>
      </c>
      <c r="G18" s="1">
        <v>15</v>
      </c>
      <c r="J18" s="4" t="s">
        <v>55</v>
      </c>
      <c r="K18" s="3">
        <v>33.4</v>
      </c>
      <c r="N18" s="4" t="s">
        <v>55</v>
      </c>
      <c r="O18" s="3">
        <v>5.4</v>
      </c>
    </row>
    <row r="19" spans="1:15" x14ac:dyDescent="0.3">
      <c r="F19" s="4" t="s">
        <v>56</v>
      </c>
      <c r="G19" s="1">
        <v>18</v>
      </c>
      <c r="J19" s="4" t="s">
        <v>56</v>
      </c>
      <c r="K19" s="3">
        <v>37.944444444444443</v>
      </c>
      <c r="N19" s="4" t="s">
        <v>56</v>
      </c>
      <c r="O19" s="3">
        <v>5</v>
      </c>
    </row>
    <row r="20" spans="1:15" x14ac:dyDescent="0.3">
      <c r="F20" s="4" t="s">
        <v>57</v>
      </c>
      <c r="G20" s="1">
        <v>13</v>
      </c>
      <c r="J20" s="4" t="s">
        <v>57</v>
      </c>
      <c r="K20" s="3">
        <v>32.769230769230766</v>
      </c>
      <c r="N20" s="4" t="s">
        <v>57</v>
      </c>
      <c r="O20" s="3">
        <v>4.4000000000000004</v>
      </c>
    </row>
    <row r="21" spans="1:15" x14ac:dyDescent="0.3">
      <c r="F21" s="4" t="s">
        <v>58</v>
      </c>
      <c r="G21" s="1">
        <v>22</v>
      </c>
      <c r="J21" s="4" t="s">
        <v>58</v>
      </c>
      <c r="K21" s="3">
        <v>31.863636363636363</v>
      </c>
      <c r="N21" s="4" t="s">
        <v>58</v>
      </c>
      <c r="O21" s="3">
        <v>6.75</v>
      </c>
    </row>
    <row r="22" spans="1:15" x14ac:dyDescent="0.3">
      <c r="F22" s="4" t="s">
        <v>59</v>
      </c>
      <c r="G22" s="1">
        <v>16</v>
      </c>
      <c r="J22" s="4" t="s">
        <v>59</v>
      </c>
      <c r="K22" s="3">
        <v>37.8125</v>
      </c>
      <c r="N22" s="4" t="s">
        <v>59</v>
      </c>
      <c r="O22" s="3">
        <v>7</v>
      </c>
    </row>
    <row r="23" spans="1:15" x14ac:dyDescent="0.3">
      <c r="F23" s="4" t="s">
        <v>60</v>
      </c>
      <c r="G23" s="1">
        <v>13</v>
      </c>
      <c r="J23" s="4" t="s">
        <v>60</v>
      </c>
      <c r="K23" s="3">
        <v>28.46153846153846</v>
      </c>
      <c r="N23" s="4" t="s">
        <v>60</v>
      </c>
      <c r="O23" s="3">
        <v>4.666666666666667</v>
      </c>
    </row>
    <row r="24" spans="1:15" x14ac:dyDescent="0.3">
      <c r="F24" s="4" t="s">
        <v>61</v>
      </c>
      <c r="G24" s="1">
        <v>14</v>
      </c>
      <c r="J24" s="4" t="s">
        <v>61</v>
      </c>
      <c r="K24" s="3">
        <v>33.571428571428569</v>
      </c>
      <c r="N24" s="4" t="s">
        <v>61</v>
      </c>
      <c r="O24" s="3">
        <v>3</v>
      </c>
    </row>
    <row r="25" spans="1:15" x14ac:dyDescent="0.3">
      <c r="F25" s="4" t="s">
        <v>62</v>
      </c>
      <c r="G25" s="1">
        <v>21</v>
      </c>
      <c r="J25" s="4" t="s">
        <v>62</v>
      </c>
      <c r="K25" s="3">
        <v>35.666666666666664</v>
      </c>
      <c r="N25" s="4" t="s">
        <v>62</v>
      </c>
      <c r="O25" s="3">
        <v>3.4285714285714284</v>
      </c>
    </row>
    <row r="26" spans="1:15" x14ac:dyDescent="0.3">
      <c r="F26" s="4" t="s">
        <v>63</v>
      </c>
      <c r="G26" s="1">
        <v>9</v>
      </c>
      <c r="J26" s="4" t="s">
        <v>63</v>
      </c>
      <c r="K26" s="3">
        <v>27</v>
      </c>
      <c r="N26" s="4" t="s">
        <v>64</v>
      </c>
      <c r="O26" s="3">
        <v>2.3333333333333335</v>
      </c>
    </row>
    <row r="27" spans="1:15" x14ac:dyDescent="0.3">
      <c r="F27" s="4" t="s">
        <v>64</v>
      </c>
      <c r="G27" s="1">
        <v>10</v>
      </c>
      <c r="J27" s="4" t="s">
        <v>64</v>
      </c>
      <c r="K27" s="3">
        <v>42.4</v>
      </c>
      <c r="N27" s="4" t="s">
        <v>65</v>
      </c>
      <c r="O27" s="3">
        <v>6</v>
      </c>
    </row>
    <row r="28" spans="1:15" x14ac:dyDescent="0.3">
      <c r="F28" s="4" t="s">
        <v>65</v>
      </c>
      <c r="G28" s="1">
        <v>15</v>
      </c>
      <c r="J28" s="4" t="s">
        <v>65</v>
      </c>
      <c r="K28" s="3">
        <v>37.333333333333336</v>
      </c>
      <c r="N28" s="4" t="s">
        <v>66</v>
      </c>
      <c r="O28" s="3">
        <v>5.8</v>
      </c>
    </row>
    <row r="29" spans="1:15" x14ac:dyDescent="0.3">
      <c r="F29" s="4" t="s">
        <v>66</v>
      </c>
      <c r="G29" s="1">
        <v>15</v>
      </c>
      <c r="J29" s="4" t="s">
        <v>66</v>
      </c>
      <c r="K29" s="3">
        <v>34.266666666666666</v>
      </c>
      <c r="N29" s="4" t="s">
        <v>67</v>
      </c>
      <c r="O29" s="3">
        <v>5</v>
      </c>
    </row>
    <row r="30" spans="1:15" x14ac:dyDescent="0.3">
      <c r="F30" s="4" t="s">
        <v>67</v>
      </c>
      <c r="G30" s="1">
        <v>13</v>
      </c>
      <c r="J30" s="4" t="s">
        <v>67</v>
      </c>
      <c r="K30" s="3">
        <v>34.92307692307692</v>
      </c>
      <c r="N30" s="4" t="s">
        <v>68</v>
      </c>
      <c r="O30" s="3">
        <v>2</v>
      </c>
    </row>
    <row r="31" spans="1:15" x14ac:dyDescent="0.3">
      <c r="F31" s="4" t="s">
        <v>68</v>
      </c>
      <c r="G31" s="1">
        <v>12</v>
      </c>
      <c r="J31" s="4" t="s">
        <v>68</v>
      </c>
      <c r="K31" s="3">
        <v>33.166666666666664</v>
      </c>
      <c r="N31" s="4" t="s">
        <v>69</v>
      </c>
      <c r="O31" s="3">
        <v>3</v>
      </c>
    </row>
    <row r="32" spans="1:15" x14ac:dyDescent="0.3">
      <c r="F32" s="4" t="s">
        <v>69</v>
      </c>
      <c r="G32" s="1">
        <v>17</v>
      </c>
      <c r="J32" s="4" t="s">
        <v>69</v>
      </c>
      <c r="K32" s="3">
        <v>32.588235294117645</v>
      </c>
      <c r="N32" s="4" t="s">
        <v>70</v>
      </c>
      <c r="O32" s="3">
        <v>8.5</v>
      </c>
    </row>
    <row r="33" spans="1:15" x14ac:dyDescent="0.3">
      <c r="F33" s="4" t="s">
        <v>70</v>
      </c>
      <c r="G33" s="1">
        <v>17</v>
      </c>
      <c r="J33" s="4" t="s">
        <v>70</v>
      </c>
      <c r="K33" s="3">
        <v>33.294117647058826</v>
      </c>
      <c r="N33" s="4" t="s">
        <v>71</v>
      </c>
      <c r="O33" s="3">
        <v>5.5714285714285712</v>
      </c>
    </row>
    <row r="34" spans="1:15" x14ac:dyDescent="0.3">
      <c r="F34" s="4" t="s">
        <v>71</v>
      </c>
      <c r="G34" s="1">
        <v>17</v>
      </c>
      <c r="J34" s="4" t="s">
        <v>71</v>
      </c>
      <c r="K34" s="3">
        <v>37.411764705882355</v>
      </c>
      <c r="N34" s="4" t="s">
        <v>3</v>
      </c>
      <c r="O34" s="1">
        <v>4.9083333333333332</v>
      </c>
    </row>
    <row r="35" spans="1:15" x14ac:dyDescent="0.3">
      <c r="F35" s="4" t="s">
        <v>3</v>
      </c>
      <c r="G35" s="1">
        <v>466</v>
      </c>
      <c r="J35" s="4" t="s">
        <v>3</v>
      </c>
      <c r="K35" s="1">
        <v>35.06008583690987</v>
      </c>
    </row>
    <row r="36" spans="1:15" x14ac:dyDescent="0.3">
      <c r="A36" s="2" t="s">
        <v>4</v>
      </c>
      <c r="B36" t="s">
        <v>9</v>
      </c>
      <c r="C36" t="s">
        <v>10</v>
      </c>
    </row>
    <row r="37" spans="1:15" x14ac:dyDescent="0.3">
      <c r="A37" s="4" t="s">
        <v>7</v>
      </c>
      <c r="B37" s="9">
        <v>236</v>
      </c>
      <c r="C37" s="10">
        <v>0.50643776824034337</v>
      </c>
    </row>
    <row r="38" spans="1:15" x14ac:dyDescent="0.3">
      <c r="A38" s="4" t="s">
        <v>8</v>
      </c>
      <c r="B38" s="9">
        <v>230</v>
      </c>
      <c r="C38" s="10">
        <v>0.49356223175965663</v>
      </c>
    </row>
    <row r="39" spans="1:15" x14ac:dyDescent="0.3">
      <c r="A39" s="4" t="s">
        <v>3</v>
      </c>
      <c r="B39" s="3">
        <v>466</v>
      </c>
      <c r="C39" s="10">
        <v>1</v>
      </c>
    </row>
    <row r="42" spans="1:15" x14ac:dyDescent="0.3">
      <c r="A42" s="11" t="s">
        <v>11</v>
      </c>
      <c r="B42" s="11" t="s">
        <v>13</v>
      </c>
      <c r="C42" s="11" t="s">
        <v>12</v>
      </c>
      <c r="D42" s="12"/>
    </row>
    <row r="43" spans="1:15" ht="21" customHeight="1" x14ac:dyDescent="0.3">
      <c r="A43" s="13" t="str">
        <f>A38</f>
        <v>Not Admitted</v>
      </c>
      <c r="B43" s="13">
        <f>B38</f>
        <v>230</v>
      </c>
      <c r="C43" s="14">
        <f>C38</f>
        <v>0.49356223175965663</v>
      </c>
      <c r="D43" s="15"/>
    </row>
    <row r="44" spans="1:15" ht="25.2" customHeight="1" x14ac:dyDescent="0.3">
      <c r="A44" s="13" t="str">
        <f>A37</f>
        <v>Admitted</v>
      </c>
      <c r="B44" s="13">
        <f>B37</f>
        <v>236</v>
      </c>
      <c r="C44" s="14">
        <f>C37</f>
        <v>0.50643776824034337</v>
      </c>
      <c r="D44" s="15"/>
    </row>
    <row r="49" spans="1:2" x14ac:dyDescent="0.3">
      <c r="A49" t="s">
        <v>23</v>
      </c>
    </row>
    <row r="50" spans="1:2" x14ac:dyDescent="0.3">
      <c r="A50" s="2" t="s">
        <v>4</v>
      </c>
      <c r="B50" t="s">
        <v>14</v>
      </c>
    </row>
    <row r="51" spans="1:2" x14ac:dyDescent="0.3">
      <c r="A51" s="4" t="s">
        <v>15</v>
      </c>
      <c r="B51" s="9">
        <v>58</v>
      </c>
    </row>
    <row r="52" spans="1:2" x14ac:dyDescent="0.3">
      <c r="A52" s="4" t="s">
        <v>16</v>
      </c>
      <c r="B52" s="9">
        <v>61</v>
      </c>
    </row>
    <row r="53" spans="1:2" x14ac:dyDescent="0.3">
      <c r="A53" s="4" t="s">
        <v>17</v>
      </c>
      <c r="B53" s="9">
        <v>64</v>
      </c>
    </row>
    <row r="54" spans="1:2" x14ac:dyDescent="0.3">
      <c r="A54" s="4" t="s">
        <v>18</v>
      </c>
      <c r="B54" s="9">
        <v>64</v>
      </c>
    </row>
    <row r="55" spans="1:2" x14ac:dyDescent="0.3">
      <c r="A55" s="4" t="s">
        <v>19</v>
      </c>
      <c r="B55" s="9">
        <v>65</v>
      </c>
    </row>
    <row r="56" spans="1:2" x14ac:dyDescent="0.3">
      <c r="A56" s="4" t="s">
        <v>20</v>
      </c>
      <c r="B56" s="9">
        <v>52</v>
      </c>
    </row>
    <row r="57" spans="1:2" x14ac:dyDescent="0.3">
      <c r="A57" s="4" t="s">
        <v>21</v>
      </c>
      <c r="B57" s="9">
        <v>57</v>
      </c>
    </row>
    <row r="58" spans="1:2" x14ac:dyDescent="0.3">
      <c r="A58" s="4" t="s">
        <v>22</v>
      </c>
      <c r="B58" s="9">
        <v>45</v>
      </c>
    </row>
    <row r="59" spans="1:2" x14ac:dyDescent="0.3">
      <c r="A59" s="4" t="s">
        <v>3</v>
      </c>
      <c r="B59" s="3">
        <v>466</v>
      </c>
    </row>
    <row r="63" spans="1:2" x14ac:dyDescent="0.3">
      <c r="A63" t="s">
        <v>27</v>
      </c>
    </row>
    <row r="64" spans="1:2" x14ac:dyDescent="0.3">
      <c r="A64" s="2" t="s">
        <v>4</v>
      </c>
      <c r="B64" t="s">
        <v>24</v>
      </c>
    </row>
    <row r="65" spans="1:2" x14ac:dyDescent="0.3">
      <c r="A65" s="4" t="s">
        <v>26</v>
      </c>
      <c r="B65" s="9">
        <v>278</v>
      </c>
    </row>
    <row r="66" spans="1:2" x14ac:dyDescent="0.3">
      <c r="A66" s="4" t="s">
        <v>25</v>
      </c>
      <c r="B66" s="9">
        <v>188</v>
      </c>
    </row>
    <row r="67" spans="1:2" x14ac:dyDescent="0.3">
      <c r="A67" s="4" t="s">
        <v>3</v>
      </c>
      <c r="B67" s="9">
        <v>466</v>
      </c>
    </row>
    <row r="71" spans="1:2" x14ac:dyDescent="0.3">
      <c r="A71" t="s">
        <v>31</v>
      </c>
    </row>
    <row r="72" spans="1:2" x14ac:dyDescent="0.3">
      <c r="A72" s="2" t="s">
        <v>4</v>
      </c>
      <c r="B72" t="s">
        <v>30</v>
      </c>
    </row>
    <row r="73" spans="1:2" x14ac:dyDescent="0.3">
      <c r="A73" s="4" t="s">
        <v>28</v>
      </c>
      <c r="B73" s="9">
        <v>237</v>
      </c>
    </row>
    <row r="74" spans="1:2" x14ac:dyDescent="0.3">
      <c r="A74" s="4" t="s">
        <v>29</v>
      </c>
      <c r="B74" s="9">
        <v>229</v>
      </c>
    </row>
    <row r="75" spans="1:2" x14ac:dyDescent="0.3">
      <c r="A75" s="4" t="s">
        <v>3</v>
      </c>
      <c r="B75" s="9">
        <v>466</v>
      </c>
    </row>
    <row r="80" spans="1:2" x14ac:dyDescent="0.3">
      <c r="A80" s="2" t="s">
        <v>4</v>
      </c>
      <c r="B80" t="s">
        <v>40</v>
      </c>
    </row>
    <row r="81" spans="1:2" x14ac:dyDescent="0.3">
      <c r="A81" s="4" t="s">
        <v>39</v>
      </c>
      <c r="B81" s="9">
        <v>6</v>
      </c>
    </row>
    <row r="82" spans="1:2" x14ac:dyDescent="0.3">
      <c r="A82" s="4" t="s">
        <v>32</v>
      </c>
      <c r="B82" s="9">
        <v>9</v>
      </c>
    </row>
    <row r="83" spans="1:2" x14ac:dyDescent="0.3">
      <c r="A83" s="4" t="s">
        <v>35</v>
      </c>
      <c r="B83" s="9">
        <v>10</v>
      </c>
    </row>
    <row r="84" spans="1:2" x14ac:dyDescent="0.3">
      <c r="A84" s="4" t="s">
        <v>33</v>
      </c>
      <c r="B84" s="9">
        <v>11</v>
      </c>
    </row>
    <row r="85" spans="1:2" x14ac:dyDescent="0.3">
      <c r="A85" s="4" t="s">
        <v>38</v>
      </c>
      <c r="B85" s="9">
        <v>12</v>
      </c>
    </row>
    <row r="86" spans="1:2" x14ac:dyDescent="0.3">
      <c r="A86" s="4" t="s">
        <v>37</v>
      </c>
      <c r="B86" s="9">
        <v>47</v>
      </c>
    </row>
    <row r="87" spans="1:2" x14ac:dyDescent="0.3">
      <c r="A87" s="4" t="s">
        <v>34</v>
      </c>
      <c r="B87" s="9">
        <v>98</v>
      </c>
    </row>
    <row r="88" spans="1:2" x14ac:dyDescent="0.3">
      <c r="A88" s="4" t="s">
        <v>36</v>
      </c>
      <c r="B88" s="9">
        <v>273</v>
      </c>
    </row>
    <row r="89" spans="1:2" x14ac:dyDescent="0.3">
      <c r="A89" s="4" t="s">
        <v>3</v>
      </c>
      <c r="B89" s="9">
        <v>466</v>
      </c>
    </row>
    <row r="94" spans="1:2" x14ac:dyDescent="0.3">
      <c r="A94" s="2" t="s">
        <v>4</v>
      </c>
    </row>
    <row r="95" spans="1:2" x14ac:dyDescent="0.3">
      <c r="A95" s="4" t="s">
        <v>41</v>
      </c>
    </row>
    <row r="96" spans="1:2" x14ac:dyDescent="0.3">
      <c r="A96" s="16" t="s">
        <v>72</v>
      </c>
    </row>
    <row r="97" spans="1:1" x14ac:dyDescent="0.3">
      <c r="A97" s="17" t="s">
        <v>73</v>
      </c>
    </row>
    <row r="98" spans="1:1" x14ac:dyDescent="0.3">
      <c r="A98" s="18">
        <v>45536</v>
      </c>
    </row>
    <row r="99" spans="1:1" x14ac:dyDescent="0.3">
      <c r="A99" s="18">
        <v>45537</v>
      </c>
    </row>
    <row r="100" spans="1:1" x14ac:dyDescent="0.3">
      <c r="A100" s="18">
        <v>45538</v>
      </c>
    </row>
    <row r="101" spans="1:1" x14ac:dyDescent="0.3">
      <c r="A101" s="18">
        <v>45539</v>
      </c>
    </row>
    <row r="102" spans="1:1" x14ac:dyDescent="0.3">
      <c r="A102" s="18">
        <v>45540</v>
      </c>
    </row>
    <row r="103" spans="1:1" x14ac:dyDescent="0.3">
      <c r="A103" s="18">
        <v>45541</v>
      </c>
    </row>
    <row r="104" spans="1:1" x14ac:dyDescent="0.3">
      <c r="A104" s="18">
        <v>45542</v>
      </c>
    </row>
    <row r="105" spans="1:1" x14ac:dyDescent="0.3">
      <c r="A105" s="18">
        <v>45543</v>
      </c>
    </row>
    <row r="106" spans="1:1" x14ac:dyDescent="0.3">
      <c r="A106" s="18">
        <v>45544</v>
      </c>
    </row>
    <row r="107" spans="1:1" x14ac:dyDescent="0.3">
      <c r="A107" s="18">
        <v>45545</v>
      </c>
    </row>
    <row r="108" spans="1:1" x14ac:dyDescent="0.3">
      <c r="A108" s="18">
        <v>45546</v>
      </c>
    </row>
    <row r="109" spans="1:1" x14ac:dyDescent="0.3">
      <c r="A109" s="18">
        <v>45547</v>
      </c>
    </row>
    <row r="110" spans="1:1" x14ac:dyDescent="0.3">
      <c r="A110" s="18">
        <v>45548</v>
      </c>
    </row>
    <row r="111" spans="1:1" x14ac:dyDescent="0.3">
      <c r="A111" s="18">
        <v>45549</v>
      </c>
    </row>
    <row r="112" spans="1:1" x14ac:dyDescent="0.3">
      <c r="A112" s="18">
        <v>45550</v>
      </c>
    </row>
    <row r="113" spans="1:1" x14ac:dyDescent="0.3">
      <c r="A113" s="18">
        <v>45551</v>
      </c>
    </row>
    <row r="114" spans="1:1" x14ac:dyDescent="0.3">
      <c r="A114" s="18">
        <v>45552</v>
      </c>
    </row>
    <row r="115" spans="1:1" x14ac:dyDescent="0.3">
      <c r="A115" s="18">
        <v>45553</v>
      </c>
    </row>
    <row r="116" spans="1:1" x14ac:dyDescent="0.3">
      <c r="A116" s="18">
        <v>45554</v>
      </c>
    </row>
    <row r="117" spans="1:1" x14ac:dyDescent="0.3">
      <c r="A117" s="18">
        <v>45555</v>
      </c>
    </row>
    <row r="118" spans="1:1" x14ac:dyDescent="0.3">
      <c r="A118" s="18">
        <v>45556</v>
      </c>
    </row>
    <row r="119" spans="1:1" x14ac:dyDescent="0.3">
      <c r="A119" s="18">
        <v>45557</v>
      </c>
    </row>
    <row r="120" spans="1:1" x14ac:dyDescent="0.3">
      <c r="A120" s="18">
        <v>45558</v>
      </c>
    </row>
    <row r="121" spans="1:1" x14ac:dyDescent="0.3">
      <c r="A121" s="18">
        <v>45559</v>
      </c>
    </row>
    <row r="122" spans="1:1" x14ac:dyDescent="0.3">
      <c r="A122" s="18">
        <v>45560</v>
      </c>
    </row>
    <row r="123" spans="1:1" x14ac:dyDescent="0.3">
      <c r="A123" s="18">
        <v>45561</v>
      </c>
    </row>
    <row r="124" spans="1:1" x14ac:dyDescent="0.3">
      <c r="A124" s="18">
        <v>45562</v>
      </c>
    </row>
    <row r="125" spans="1:1" x14ac:dyDescent="0.3">
      <c r="A125" s="18">
        <v>45563</v>
      </c>
    </row>
    <row r="126" spans="1:1" x14ac:dyDescent="0.3">
      <c r="A126" s="18">
        <v>45564</v>
      </c>
    </row>
    <row r="127" spans="1:1" x14ac:dyDescent="0.3">
      <c r="A127" s="18">
        <v>45565</v>
      </c>
    </row>
    <row r="128" spans="1:1" x14ac:dyDescent="0.3">
      <c r="A128" s="4" t="s">
        <v>3</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FDC15-F420-45BC-B275-33CAD04A8E17}">
  <dimension ref="A19"/>
  <sheetViews>
    <sheetView zoomScale="200" zoomScaleNormal="200" workbookViewId="0">
      <selection activeCell="M6" sqref="M6"/>
    </sheetView>
  </sheetViews>
  <sheetFormatPr defaultRowHeight="13.8" x14ac:dyDescent="0.25"/>
  <cols>
    <col min="1" max="4" width="8.88671875" style="5"/>
    <col min="5" max="5" width="9.21875" style="5" customWidth="1"/>
    <col min="6" max="16384" width="8.88671875" style="5"/>
  </cols>
  <sheetData>
    <row r="19" s="5" customFormat="1" ht="13.8" customHeight="1" x14ac:dyDescent="0.25"/>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3DF33-F2DA-4F70-BC08-16FE1881973C}">
  <dimension ref="J36:J38"/>
  <sheetViews>
    <sheetView workbookViewId="0"/>
  </sheetViews>
  <sheetFormatPr defaultRowHeight="14.4" x14ac:dyDescent="0.3"/>
  <sheetData>
    <row r="36" spans="10:10" x14ac:dyDescent="0.3">
      <c r="J36" s="6" t="s">
        <v>5</v>
      </c>
    </row>
    <row r="38" spans="10:10" x14ac:dyDescent="0.3">
      <c r="J38" s="7" t="s">
        <v>6</v>
      </c>
    </row>
  </sheetData>
  <hyperlinks>
    <hyperlink ref="J36" r:id="rId1" display="https://www.canva.com/colors/color-meanings/midnight-blue/" xr:uid="{8DB9F8A4-AF43-4637-A93C-41964B98644D}"/>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62155-AAC1-46F8-96D5-1D3946EB07C4}">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D465-127C-4F10-9D24-ADBF13221A5A}">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80F71DB-AD24-43AD-B0CC-6364872CC276}">
  <ds:schemaRefs/>
</ds:datastoreItem>
</file>

<file path=customXml/itemProps2.xml><?xml version="1.0" encoding="utf-8"?>
<ds:datastoreItem xmlns:ds="http://schemas.openxmlformats.org/officeDocument/2006/customXml" ds:itemID="{F88500DC-FDBA-453E-AF3D-918A50D3D78B}">
  <ds:schemaRefs/>
</ds:datastoreItem>
</file>

<file path=customXml/itemProps3.xml><?xml version="1.0" encoding="utf-8"?>
<ds:datastoreItem xmlns:ds="http://schemas.openxmlformats.org/officeDocument/2006/customXml" ds:itemID="{93216C59-E71F-4163-B374-A168C887DF5D}">
  <ds:schemaRefs/>
</ds:datastoreItem>
</file>

<file path=customXml/itemProps4.xml><?xml version="1.0" encoding="utf-8"?>
<ds:datastoreItem xmlns:ds="http://schemas.openxmlformats.org/officeDocument/2006/customXml" ds:itemID="{00DF5191-AD6C-4930-87A0-FE5A1F842628}">
  <ds:schemaRefs/>
</ds:datastoreItem>
</file>

<file path=customXml/itemProps5.xml><?xml version="1.0" encoding="utf-8"?>
<ds:datastoreItem xmlns:ds="http://schemas.openxmlformats.org/officeDocument/2006/customXml" ds:itemID="{84FD27ED-A6CF-4228-97A5-70BFCA76DF61}">
  <ds:schemaRefs/>
</ds:datastoreItem>
</file>

<file path=customXml/itemProps6.xml><?xml version="1.0" encoding="utf-8"?>
<ds:datastoreItem xmlns:ds="http://schemas.openxmlformats.org/officeDocument/2006/customXml" ds:itemID="{27EF13FE-6B76-42E8-AE11-9CBD9FB2015A}">
  <ds:schemaRefs/>
</ds:datastoreItem>
</file>

<file path=customXml/itemProps7.xml><?xml version="1.0" encoding="utf-8"?>
<ds:datastoreItem xmlns:ds="http://schemas.openxmlformats.org/officeDocument/2006/customXml" ds:itemID="{9846654F-E491-4B47-A1C8-AB23EC2B1780}">
  <ds:schemaRefs/>
</ds:datastoreItem>
</file>

<file path=customXml/itemProps8.xml><?xml version="1.0" encoding="utf-8"?>
<ds:datastoreItem xmlns:ds="http://schemas.openxmlformats.org/officeDocument/2006/customXml" ds:itemID="{D555D5CF-B45A-4EE4-B052-59C0D533CB3F}">
  <ds:schemaRefs/>
</ds:datastoreItem>
</file>

<file path=customXml/itemProps9.xml><?xml version="1.0" encoding="utf-8"?>
<ds:datastoreItem xmlns:ds="http://schemas.openxmlformats.org/officeDocument/2006/customXml" ds:itemID="{9835CB41-1790-4A77-82A9-0D5AB67151AF}">
  <ds:schemaRefs/>
</ds:datastoreItem>
</file>

<file path=customXml/itemProps10.xml><?xml version="1.0" encoding="utf-8"?>
<ds:datastoreItem xmlns:ds="http://schemas.openxmlformats.org/officeDocument/2006/customXml" ds:itemID="{BBFE90C7-F0A3-4C24-89CA-2C3ADB2D2981}">
  <ds:schemaRefs/>
</ds:datastoreItem>
</file>

<file path=customXml/itemProps11.xml><?xml version="1.0" encoding="utf-8"?>
<ds:datastoreItem xmlns:ds="http://schemas.openxmlformats.org/officeDocument/2006/customXml" ds:itemID="{80597742-3DF3-45FE-B2A3-86CA97BAA9E8}">
  <ds:schemaRefs/>
</ds:datastoreItem>
</file>

<file path=customXml/itemProps12.xml><?xml version="1.0" encoding="utf-8"?>
<ds:datastoreItem xmlns:ds="http://schemas.openxmlformats.org/officeDocument/2006/customXml" ds:itemID="{2C69A18F-6994-4D07-9990-F4D28C47823A}">
  <ds:schemaRefs/>
</ds:datastoreItem>
</file>

<file path=customXml/itemProps13.xml><?xml version="1.0" encoding="utf-8"?>
<ds:datastoreItem xmlns:ds="http://schemas.openxmlformats.org/officeDocument/2006/customXml" ds:itemID="{D5253FEB-5C53-4987-B2C7-00342D288102}">
  <ds:schemaRefs/>
</ds:datastoreItem>
</file>

<file path=customXml/itemProps14.xml><?xml version="1.0" encoding="utf-8"?>
<ds:datastoreItem xmlns:ds="http://schemas.openxmlformats.org/officeDocument/2006/customXml" ds:itemID="{43EABE00-9F2F-43FC-9B66-447B939B7F21}">
  <ds:schemaRefs>
    <ds:schemaRef ds:uri="http://schemas.microsoft.com/DataMashup"/>
  </ds:schemaRefs>
</ds:datastoreItem>
</file>

<file path=customXml/itemProps15.xml><?xml version="1.0" encoding="utf-8"?>
<ds:datastoreItem xmlns:ds="http://schemas.openxmlformats.org/officeDocument/2006/customXml" ds:itemID="{B449AAA4-99C8-4276-A547-CBCB42892E12}">
  <ds:schemaRefs/>
</ds:datastoreItem>
</file>

<file path=customXml/itemProps16.xml><?xml version="1.0" encoding="utf-8"?>
<ds:datastoreItem xmlns:ds="http://schemas.openxmlformats.org/officeDocument/2006/customXml" ds:itemID="{00A49C17-B7F6-4328-BB4E-4268360AEF55}">
  <ds:schemaRefs/>
</ds:datastoreItem>
</file>

<file path=customXml/itemProps17.xml><?xml version="1.0" encoding="utf-8"?>
<ds:datastoreItem xmlns:ds="http://schemas.openxmlformats.org/officeDocument/2006/customXml" ds:itemID="{80BE773D-80B9-4844-B346-DE48BBAEF2D2}">
  <ds:schemaRefs/>
</ds:datastoreItem>
</file>

<file path=customXml/itemProps18.xml><?xml version="1.0" encoding="utf-8"?>
<ds:datastoreItem xmlns:ds="http://schemas.openxmlformats.org/officeDocument/2006/customXml" ds:itemID="{3D3F7489-1F62-4821-85A1-BE9AB18BA0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Main_DashBoard</vt:lpstr>
      <vt:lpstr>Daily ER No of Patient</vt:lpstr>
      <vt:lpstr>Average Wait Time</vt:lpstr>
      <vt:lpstr>Patient_Satisfaction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2025-11-18T15:11:08Z</dcterms:created>
  <dcterms:modified xsi:type="dcterms:W3CDTF">2025-11-20T08:01:49Z</dcterms:modified>
</cp:coreProperties>
</file>